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BCDCD52C-52F8-4B1D-B6D7-F0949DFA232E}" xr6:coauthVersionLast="47" xr6:coauthVersionMax="47" xr10:uidLastSave="{00000000-0000-0000-0000-000000000000}"/>
  <bookViews>
    <workbookView xWindow="-110" yWindow="-110" windowWidth="19420" windowHeight="10300" activeTab="1" xr2:uid="{62ABEAB2-52AC-4E0A-82A0-9B30E8D39595}"/>
  </bookViews>
  <sheets>
    <sheet name="Catalogue" sheetId="1" r:id="rId1"/>
    <sheet name="Sheet7" sheetId="9" r:id="rId2"/>
    <sheet name="Sales Report" sheetId="2" r:id="rId3"/>
  </sheets>
  <definedNames>
    <definedName name="NativeTimeline_DATE">#N/A</definedName>
  </definedNames>
  <calcPr calcId="191029"/>
  <pivotCaches>
    <pivotCache cacheId="24" r:id="rId4"/>
  </pivotCaches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2" i="2" l="1" a="1"/>
  <c r="M402" i="2" s="1"/>
  <c r="M352" i="2" a="1"/>
  <c r="M352" i="2" s="1"/>
  <c r="M302" i="2" a="1"/>
  <c r="M302" i="2" s="1"/>
  <c r="M252" i="2" a="1"/>
  <c r="M252" i="2" s="1"/>
  <c r="M202" i="2" a="1"/>
  <c r="M202" i="2" s="1"/>
  <c r="M152" i="2" a="1"/>
  <c r="M152" i="2" s="1"/>
  <c r="M102" i="2" a="1"/>
  <c r="M102" i="2" s="1"/>
  <c r="M52" i="2" a="1"/>
  <c r="M52" i="2" s="1"/>
  <c r="M2" i="2" a="1"/>
  <c r="M2" i="2" s="1"/>
  <c r="K402" i="2" a="1"/>
  <c r="K402" i="2" s="1"/>
  <c r="K352" i="2" a="1"/>
  <c r="K352" i="2" s="1"/>
  <c r="K302" i="2" a="1"/>
  <c r="K302" i="2" s="1"/>
  <c r="K252" i="2" a="1"/>
  <c r="K252" i="2" s="1"/>
  <c r="K202" i="2" a="1"/>
  <c r="K202" i="2" s="1"/>
  <c r="K152" i="2" a="1"/>
  <c r="K152" i="2" s="1"/>
  <c r="K102" i="2" a="1"/>
  <c r="K102" i="2" s="1"/>
  <c r="K52" i="2" a="1"/>
  <c r="K52" i="2" s="1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K2" i="2" a="1"/>
  <c r="K2" i="2" s="1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<sst xmlns="http://schemas.openxmlformats.org/spreadsheetml/2006/main" count="1569" uniqueCount="188">
  <si>
    <t>PRODUCT ID</t>
  </si>
  <si>
    <t xml:space="preserve">PRODUCT </t>
  </si>
  <si>
    <t xml:space="preserve">CATEGORY </t>
  </si>
  <si>
    <t>UOM</t>
  </si>
  <si>
    <t>BUYING PRICE</t>
  </si>
  <si>
    <t>SELLING PRICE</t>
  </si>
  <si>
    <t>DATE</t>
  </si>
  <si>
    <t>QTY</t>
  </si>
  <si>
    <t>SALES TYPE</t>
  </si>
  <si>
    <t>PAYMENT MODE</t>
  </si>
  <si>
    <t>Wholesaler</t>
  </si>
  <si>
    <t>Online</t>
  </si>
  <si>
    <t>Cash</t>
  </si>
  <si>
    <t>Retail Sales</t>
  </si>
  <si>
    <t>P1001</t>
  </si>
  <si>
    <t>Dove Soap</t>
  </si>
  <si>
    <t>Personal Care</t>
  </si>
  <si>
    <t>100g bar</t>
  </si>
  <si>
    <t>P1002</t>
  </si>
  <si>
    <t>Colgate Toothpaste</t>
  </si>
  <si>
    <t>150g tube</t>
  </si>
  <si>
    <t>P1003</t>
  </si>
  <si>
    <t>Lifebuoy Handwash</t>
  </si>
  <si>
    <t>200ml bottle</t>
  </si>
  <si>
    <t>P1004</t>
  </si>
  <si>
    <t>Nivea Body Lotion</t>
  </si>
  <si>
    <t>400ml bottle</t>
  </si>
  <si>
    <t>P1005</t>
  </si>
  <si>
    <t>Gillette Shaving Foam</t>
  </si>
  <si>
    <t>200g can</t>
  </si>
  <si>
    <t>P1006</t>
  </si>
  <si>
    <t>Pantene Shampoo</t>
  </si>
  <si>
    <t>340ml bottle</t>
  </si>
  <si>
    <t>P1007</t>
  </si>
  <si>
    <t>Dettol Antiseptic Liquid</t>
  </si>
  <si>
    <t>250ml bottle</t>
  </si>
  <si>
    <t>P1008</t>
  </si>
  <si>
    <t>Himalaya Face Wash</t>
  </si>
  <si>
    <t>150ml tube</t>
  </si>
  <si>
    <t>P1009</t>
  </si>
  <si>
    <t>Vaseline Lip Care</t>
  </si>
  <si>
    <t>10g stick</t>
  </si>
  <si>
    <t>P1010</t>
  </si>
  <si>
    <t>Johnson’s Baby Powder</t>
  </si>
  <si>
    <t>500g bottle</t>
  </si>
  <si>
    <t>P2001</t>
  </si>
  <si>
    <t>Coca-Cola Can</t>
  </si>
  <si>
    <t>Beverages</t>
  </si>
  <si>
    <t>330ml can</t>
  </si>
  <si>
    <t>P2002</t>
  </si>
  <si>
    <t>Pepsi Bottle</t>
  </si>
  <si>
    <t>500ml bottle</t>
  </si>
  <si>
    <t>P2003</t>
  </si>
  <si>
    <t>Red Bull</t>
  </si>
  <si>
    <t>250ml can</t>
  </si>
  <si>
    <t>P2004</t>
  </si>
  <si>
    <t>Tropicana Orange Juice</t>
  </si>
  <si>
    <t>1L tetra pack</t>
  </si>
  <si>
    <t>P2005</t>
  </si>
  <si>
    <t>Minute Maid Pulpy</t>
  </si>
  <si>
    <t>600ml bottle</t>
  </si>
  <si>
    <t>P2006</t>
  </si>
  <si>
    <t>Frooti Mango Drink</t>
  </si>
  <si>
    <t>250ml tetra pack</t>
  </si>
  <si>
    <t>P2007</t>
  </si>
  <si>
    <t>Nestlé Iced Tea</t>
  </si>
  <si>
    <t>300ml bottle</t>
  </si>
  <si>
    <t>P2008</t>
  </si>
  <si>
    <t>Real Mixed Fruit Juice</t>
  </si>
  <si>
    <t>P2009</t>
  </si>
  <si>
    <t>Amul Kool Flavored Milk</t>
  </si>
  <si>
    <t>P2010</t>
  </si>
  <si>
    <t>Paper Boat Aam Panna</t>
  </si>
  <si>
    <t>250ml pouch</t>
  </si>
  <si>
    <t>P3001</t>
  </si>
  <si>
    <t>Maggi Noodles</t>
  </si>
  <si>
    <t>Packaged Foods</t>
  </si>
  <si>
    <t>70g pack</t>
  </si>
  <si>
    <t>P3002</t>
  </si>
  <si>
    <t>Sunfeast Biscuits</t>
  </si>
  <si>
    <t>120g pack</t>
  </si>
  <si>
    <t>P3003</t>
  </si>
  <si>
    <t>Nestlé Cerelac</t>
  </si>
  <si>
    <t>300g box</t>
  </si>
  <si>
    <t>P3004</t>
  </si>
  <si>
    <t>MTR Ready Curry</t>
  </si>
  <si>
    <t>300g pouch</t>
  </si>
  <si>
    <t>P3005</t>
  </si>
  <si>
    <t>Haldiram's Bhujia</t>
  </si>
  <si>
    <t>200g pack</t>
  </si>
  <si>
    <t>P3006</t>
  </si>
  <si>
    <t>Lay's Chips</t>
  </si>
  <si>
    <t>52g pack</t>
  </si>
  <si>
    <t>P3007</t>
  </si>
  <si>
    <t>Kellogg’s Corn Flakes</t>
  </si>
  <si>
    <t>475g box</t>
  </si>
  <si>
    <t>P3008</t>
  </si>
  <si>
    <t>Britannia Cake</t>
  </si>
  <si>
    <t>90g pack</t>
  </si>
  <si>
    <t>P3009</t>
  </si>
  <si>
    <t>Yippee Noodles</t>
  </si>
  <si>
    <t>65g pack</t>
  </si>
  <si>
    <t>P3010</t>
  </si>
  <si>
    <t>Top Ramen</t>
  </si>
  <si>
    <t>P4001</t>
  </si>
  <si>
    <t>Surf Excel Detergent</t>
  </si>
  <si>
    <t>Household Cleaning</t>
  </si>
  <si>
    <t>1kg pack</t>
  </si>
  <si>
    <t>P4002</t>
  </si>
  <si>
    <t>Vim Dishwash Bar</t>
  </si>
  <si>
    <t>300g bar</t>
  </si>
  <si>
    <t>P4003</t>
  </si>
  <si>
    <t>Harpic Toilet Cleaner</t>
  </si>
  <si>
    <t>P4004</t>
  </si>
  <si>
    <t>Lizol Floor Cleaner</t>
  </si>
  <si>
    <t>975ml bottle</t>
  </si>
  <si>
    <t>P4005</t>
  </si>
  <si>
    <t>Domex Disinfectant</t>
  </si>
  <si>
    <t>1L bottle</t>
  </si>
  <si>
    <t>P4006</t>
  </si>
  <si>
    <t>Rin Bar</t>
  </si>
  <si>
    <t>250g bar</t>
  </si>
  <si>
    <t>P4007</t>
  </si>
  <si>
    <t>Scotch-Brite Scrub Pad</t>
  </si>
  <si>
    <t>2-piece pack</t>
  </si>
  <si>
    <t>P4008</t>
  </si>
  <si>
    <t>Pril Dishwash Liquid</t>
  </si>
  <si>
    <t>425ml bottle</t>
  </si>
  <si>
    <t>P4009</t>
  </si>
  <si>
    <t>Exo Dishwash Bar</t>
  </si>
  <si>
    <t>500g bar</t>
  </si>
  <si>
    <t>P4010</t>
  </si>
  <si>
    <t>Odonil Room Freshener</t>
  </si>
  <si>
    <t>75g block</t>
  </si>
  <si>
    <t>P5001</t>
  </si>
  <si>
    <t>Whisper Sanitary Pads</t>
  </si>
  <si>
    <t>Paper &amp; Essentials</t>
  </si>
  <si>
    <t>10-piece pack</t>
  </si>
  <si>
    <t>P5002</t>
  </si>
  <si>
    <t>Sofy Pantyliners</t>
  </si>
  <si>
    <t>20-piece pack</t>
  </si>
  <si>
    <t>P5003</t>
  </si>
  <si>
    <t>Kleenex Tissue Box</t>
  </si>
  <si>
    <t>100 pulls</t>
  </si>
  <si>
    <t>P5004</t>
  </si>
  <si>
    <t>Origami Kitchen Towels</t>
  </si>
  <si>
    <t>2-roll pack</t>
  </si>
  <si>
    <t>P5005</t>
  </si>
  <si>
    <t>Stayfree Ultra</t>
  </si>
  <si>
    <t>7 pads</t>
  </si>
  <si>
    <t>P5006</t>
  </si>
  <si>
    <t>Scott Toilet Paper</t>
  </si>
  <si>
    <t>4-roll pack</t>
  </si>
  <si>
    <t>P5007</t>
  </si>
  <si>
    <t>Bella Napkins</t>
  </si>
  <si>
    <t>10 pads</t>
  </si>
  <si>
    <t>P5008</t>
  </si>
  <si>
    <t>Everteen Wipes</t>
  </si>
  <si>
    <t>15 wipes</t>
  </si>
  <si>
    <t>P5009</t>
  </si>
  <si>
    <t>Premier Facial Tissues</t>
  </si>
  <si>
    <t>200 pulls</t>
  </si>
  <si>
    <t>P5010</t>
  </si>
  <si>
    <t>Wet Wipes - Himalaya</t>
  </si>
  <si>
    <t>20 wipes</t>
  </si>
  <si>
    <t>COST VALUE</t>
  </si>
  <si>
    <t>SELLING VALUE</t>
  </si>
  <si>
    <t>PROFIT</t>
  </si>
  <si>
    <t>Row Labels</t>
  </si>
  <si>
    <t>Grand Total</t>
  </si>
  <si>
    <t>Sum of PROFIT</t>
  </si>
  <si>
    <t>PRODUCT</t>
  </si>
  <si>
    <t>Sum of SELLING VALUE</t>
  </si>
  <si>
    <t>MONTH</t>
  </si>
  <si>
    <t>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</si>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</sst>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[Data-Final Assignment.xlsx]Sheet7!Top 10 product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cap="none" spc="0">
                <a:ln/>
                <a:pattFill prst="dkUpDiag">
                  <a:fgClr>
                    <a:schemeClr val="bg1">
                      <a:lumMod val="50000"/>
                    </a:schemeClr>
                  </a:fgClr>
                  <a:bgClr>
                    <a:schemeClr val="tx1">
                      <a:lumMod val="75000"/>
                      <a:lumOff val="25000"/>
                    </a:schemeClr>
                  </a:bgClr>
                </a:pattFill>
                <a:effectLst>
                  <a:outerShdw blurRad="38100" dist="19050" dir="2700000" algn="tl" rotWithShape="0">
                    <a:schemeClr val="dk1">
                      <a:lumMod val="50000"/>
                      <a:alpha val="40000"/>
                    </a:schemeClr>
                  </a:outerShdw>
                </a:effectLst>
              </a:rPr>
              <a:t>Top 10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Sheet7!$A$4:$A$14</c:f>
              <c:strCache>
                <c:ptCount val="10"/>
                <c:pt idx="0">
                  <c:v>Coca-Cola Can</c:v>
                </c:pt>
                <c:pt idx="1">
                  <c:v>Dove Soap</c:v>
                </c:pt>
                <c:pt idx="2">
                  <c:v>Minute Maid Pulpy</c:v>
                </c:pt>
                <c:pt idx="3">
                  <c:v>MTR Ready Curry</c:v>
                </c:pt>
                <c:pt idx="4">
                  <c:v>Nivea Body Lotion</c:v>
                </c:pt>
                <c:pt idx="5">
                  <c:v>Real Mixed Fruit Juice</c:v>
                </c:pt>
                <c:pt idx="6">
                  <c:v>Surf Excel Detergent</c:v>
                </c:pt>
                <c:pt idx="7">
                  <c:v>Top Ramen</c:v>
                </c:pt>
                <c:pt idx="8">
                  <c:v>Tropicana Orange Juice</c:v>
                </c:pt>
                <c:pt idx="9">
                  <c:v>Yippee Noodles</c:v>
                </c:pt>
              </c:strCache>
            </c:strRef>
          </c:cat>
          <c:val>
            <c:numRef>
              <c:f>Sheet7!$B$4:$B$14</c:f>
              <c:numCache>
                <c:formatCode>General</c:formatCode>
                <c:ptCount val="10"/>
                <c:pt idx="0">
                  <c:v>12256.44</c:v>
                </c:pt>
                <c:pt idx="1">
                  <c:v>11749.5</c:v>
                </c:pt>
                <c:pt idx="2">
                  <c:v>12760.369999999999</c:v>
                </c:pt>
                <c:pt idx="3">
                  <c:v>12392.23</c:v>
                </c:pt>
                <c:pt idx="4">
                  <c:v>12863.12</c:v>
                </c:pt>
                <c:pt idx="5">
                  <c:v>12812.35</c:v>
                </c:pt>
                <c:pt idx="6">
                  <c:v>12052.58</c:v>
                </c:pt>
                <c:pt idx="7">
                  <c:v>11530.430000000002</c:v>
                </c:pt>
                <c:pt idx="8">
                  <c:v>12233.76</c:v>
                </c:pt>
                <c:pt idx="9">
                  <c:v>11598.760000000002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0-4EE5-827E-9BD2329F8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090239"/>
        <c:axId val="346091903"/>
      </c:barChart>
      <c:catAx>
        <c:axId val="34609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91903"/>
        <c:crosses val="autoZero"/>
        <c:auto val="1"/>
        <c:lblAlgn val="ctr"/>
        <c:lblOffset val="100"/>
        <c:noMultiLvlLbl val="0"/>
      </c:catAx>
      <c:valAx>
        <c:axId val="3460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9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[Data-Final Assignment.xlsx]Sheet7!Category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selling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38242707254644"/>
          <c:y val="0.31043579948546035"/>
          <c:w val="0.36023315944067785"/>
          <c:h val="0.61601398835046606"/>
        </c:manualLayout>
      </c:layout>
      <c:pieChart>
        <c:varyColors val="1"/>
        <c:ser>
          <c:idx val="0"/>
          <c:order val="0"/>
          <c:tx>
            <c:strRef>
              <c:f>Sheet7!$E$3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Sheet7!$D$4:$D$9</c:f>
              <c:strCache>
                <c:ptCount val="5"/>
                <c:pt idx="0">
                  <c:v>Beverages</c:v>
                </c:pt>
                <c:pt idx="1">
                  <c:v>Household Cleaning</c:v>
                </c:pt>
                <c:pt idx="2">
                  <c:v>Packaged Foods</c:v>
                </c:pt>
                <c:pt idx="3">
                  <c:v>Paper &amp; Essentials</c:v>
                </c:pt>
                <c:pt idx="4">
                  <c:v>Personal Care</c:v>
                </c:pt>
              </c:strCache>
            </c:strRef>
          </c:cat>
          <c:val>
            <c:numRef>
              <c:f>Sheet7!$E$4:$E$9</c:f>
              <c:numCache>
                <c:formatCode>General</c:formatCode>
                <c:ptCount val="5"/>
                <c:pt idx="0">
                  <c:v>100233.95</c:v>
                </c:pt>
                <c:pt idx="1">
                  <c:v>80011.810000000012</c:v>
                </c:pt>
                <c:pt idx="2">
                  <c:v>86925.650000000009</c:v>
                </c:pt>
                <c:pt idx="3">
                  <c:v>78653.680000000008</c:v>
                </c:pt>
                <c:pt idx="4">
                  <c:v>89995.35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0-4D94-BBD2-7E19EF37987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[Data-Final Assignment.xlsx]Sheet7!revenue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13462">
                  <a:solidFill>
                    <a:schemeClr val="bg1"/>
                  </a:solidFill>
                  <a:prstDash val="solid"/>
                </a:ln>
                <a:solidFill>
                  <a:schemeClr val="dk1"/>
                </a:solidFill>
                <a:effectLst>
                  <a:outerShdw dist="38100" dir="2700000" algn="bl" rotWithShape="0">
                    <a:schemeClr val="accent5"/>
                  </a:outerShdw>
                </a:effectLst>
                <a:latin typeface="+mn-lt"/>
                <a:ea typeface="+mn-ea"/>
                <a:cs typeface="+mn-cs"/>
              </a:rPr>
              <a:t>Monthly Revenue</a:t>
            </a:r>
            <a:endParaRPr lang="en-US" b="1" cap="none" spc="0">
              <a:ln w="13462">
                <a:solidFill>
                  <a:schemeClr val="bg1"/>
                </a:solidFill>
                <a:prstDash val="solid"/>
              </a:ln>
              <a:solidFill>
                <a:schemeClr val="tx1">
                  <a:lumMod val="85000"/>
                  <a:lumOff val="15000"/>
                </a:schemeClr>
              </a:solidFill>
              <a:effectLst>
                <a:outerShdw dist="38100" dir="2700000" algn="bl" rotWithShape="0">
                  <a:schemeClr val="accent5"/>
                </a:outerShdw>
              </a:effectLst>
            </a:endParaRPr>
          </a:p>
        </c:rich>
      </c:tx>
      <c:layout>
        <c:manualLayout>
          <c:xMode val="edge"/>
          <c:yMode val="edge"/>
          <c:x val="0.45465676351297807"/>
          <c:y val="9.7824127987578335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accent2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Sheet7!$H$3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Sheet7!$H$4:$H$16</c:f>
              <c:numCache>
                <c:formatCode>General</c:formatCode>
                <c:ptCount val="12"/>
                <c:pt idx="0">
                  <c:v>55973.89</c:v>
                </c:pt>
                <c:pt idx="1">
                  <c:v>49485.85</c:v>
                </c:pt>
                <c:pt idx="2">
                  <c:v>37519.149999999994</c:v>
                </c:pt>
                <c:pt idx="3">
                  <c:v>21968.939999999995</c:v>
                </c:pt>
                <c:pt idx="4">
                  <c:v>31424.579999999998</c:v>
                </c:pt>
                <c:pt idx="5">
                  <c:v>33370.030000000013</c:v>
                </c:pt>
                <c:pt idx="6">
                  <c:v>32734.800000000003</c:v>
                </c:pt>
                <c:pt idx="7">
                  <c:v>33709.949999999997</c:v>
                </c:pt>
                <c:pt idx="8">
                  <c:v>38926.740000000005</c:v>
                </c:pt>
                <c:pt idx="9">
                  <c:v>34754.9</c:v>
                </c:pt>
                <c:pt idx="10">
                  <c:v>31789.880000000008</c:v>
                </c:pt>
                <c:pt idx="11">
                  <c:v>34161.730000000003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A-4D2D-BEE9-0997596B3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1661903"/>
        <c:axId val="731665231"/>
      </c:barChart>
      <c:catAx>
        <c:axId val="731661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665231"/>
        <c:crosses val="autoZero"/>
        <c:auto val="1"/>
        <c:lblAlgn val="ctr"/>
        <c:lblOffset val="100"/>
        <c:noMultiLvlLbl val="0"/>
      </c:catAx>
      <c:valAx>
        <c:axId val="73166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66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[Data-Final Assignment.xlsx]Sheet7!profits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rgbClr val="FF0000"/>
                </a:solidFill>
                <a:effectLst>
                  <a:reflection blurRad="6350" stA="53000" endA="300" endPos="35500" dir="5400000" sy="-90000" algn="bl" rotWithShape="0"/>
                </a:effectLst>
              </a:rPr>
              <a:t>Monthly Profits</a:t>
            </a:r>
          </a:p>
        </c:rich>
      </c:tx>
      <c:layout>
        <c:manualLayout>
          <c:xMode val="edge"/>
          <c:yMode val="edge"/>
          <c:x val="0.34610599389362051"/>
          <c:y val="0.138754028803394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Sheet7!$L$3</c:f>
              <c:strCache>
                <c:ptCount val="1"/>
                <c:pt idx="0">
                  <c:v>Sum of SELLING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Sheet7!$K$4:$K$16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Sheet7!$L$4:$L$16</c:f>
              <c:numCache>
                <c:formatCode>General</c:formatCode>
                <c:ptCount val="12"/>
                <c:pt idx="0">
                  <c:v>29870.459999999995</c:v>
                </c:pt>
                <c:pt idx="1">
                  <c:v>20204.849999999999</c:v>
                </c:pt>
                <c:pt idx="2">
                  <c:v>35360.169999999991</c:v>
                </c:pt>
                <c:pt idx="3">
                  <c:v>21968.939999999995</c:v>
                </c:pt>
                <c:pt idx="4">
                  <c:v>31424.579999999998</c:v>
                </c:pt>
                <c:pt idx="5">
                  <c:v>33370.030000000013</c:v>
                </c:pt>
                <c:pt idx="6">
                  <c:v>32734.800000000003</c:v>
                </c:pt>
                <c:pt idx="7">
                  <c:v>33709.949999999997</c:v>
                </c:pt>
                <c:pt idx="8">
                  <c:v>38926.740000000005</c:v>
                </c:pt>
                <c:pt idx="9">
                  <c:v>34754.9</c:v>
                </c:pt>
                <c:pt idx="10">
                  <c:v>31789.880000000008</c:v>
                </c:pt>
                <c:pt idx="11">
                  <c:v>34161.730000000003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F-4BEF-B4B5-3D721901DC6F}"/>
            </c:ext>
          </c:extLst>
        </c:ser>
        <c:ser>
          <c:idx val="1"/>
          <c:order val="1"/>
          <c:tx>
            <c:strRef>
              <c:f>Sheet7!$M$3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Sheet7!$K$4:$K$16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Sheet7!$M$4:$M$16</c:f>
              <c:numCache>
                <c:formatCode>General</c:formatCode>
                <c:ptCount val="12"/>
                <c:pt idx="0">
                  <c:v>6218.4600000000019</c:v>
                </c:pt>
                <c:pt idx="1">
                  <c:v>4160.8500000000013</c:v>
                </c:pt>
                <c:pt idx="2">
                  <c:v>8818.17</c:v>
                </c:pt>
                <c:pt idx="3">
                  <c:v>5192.9400000000023</c:v>
                </c:pt>
                <c:pt idx="4">
                  <c:v>4949.58</c:v>
                </c:pt>
                <c:pt idx="5">
                  <c:v>9492.0300000000007</c:v>
                </c:pt>
                <c:pt idx="6">
                  <c:v>7602.8</c:v>
                </c:pt>
                <c:pt idx="7">
                  <c:v>7122.9500000000016</c:v>
                </c:pt>
                <c:pt idx="8">
                  <c:v>10702.74</c:v>
                </c:pt>
                <c:pt idx="9">
                  <c:v>7623.9000000000033</c:v>
                </c:pt>
                <c:pt idx="10">
                  <c:v>6000.8799999999992</c:v>
                </c:pt>
                <c:pt idx="11">
                  <c:v>8472.73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F-4BEF-B4B5-3D721901D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3457279"/>
        <c:axId val="1123450207"/>
      </c:barChart>
      <c:catAx>
        <c:axId val="112345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50207"/>
        <c:crosses val="autoZero"/>
        <c:auto val="1"/>
        <c:lblAlgn val="ctr"/>
        <c:lblOffset val="100"/>
        <c:noMultiLvlLbl val="0"/>
      </c:catAx>
      <c:valAx>
        <c:axId val="112345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45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[Data-Final Assignment.xlsx]Sheet7!PivotTable6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6600">
                  <a:solidFill>
                    <a:schemeClr val="accent2"/>
                  </a:solidFill>
                  <a:prstDash val="solid"/>
                </a:ln>
                <a:solidFill>
                  <a:srgbClr val="FFFFFF"/>
                </a:solidFill>
                <a:effectLst>
                  <a:outerShdw dist="38100" dir="2700000" algn="tl" rotWithShape="0">
                    <a:schemeClr val="accent2"/>
                  </a:outerShdw>
                </a:effectLst>
              </a:rPr>
              <a:t>Transactions</a:t>
            </a:r>
            <a:endParaRPr lang="en-US"/>
          </a:p>
        </c:rich>
      </c:tx>
      <c:layout>
        <c:manualLayout>
          <c:xMode val="edge"/>
          <c:yMode val="edge"/>
          <c:x val="0.51588428702729849"/>
          <c:y val="0.186240333554012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Sheet7!$S$3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Sheet7!$R$4:$R$6</c:f>
              <c:strCache>
                <c:ptCount val="2"/>
                <c:pt idx="0">
                  <c:v>Cash</c:v>
                </c:pt>
                <c:pt idx="1">
                  <c:v>Online</c:v>
                </c:pt>
              </c:strCache>
            </c:strRef>
          </c:cat>
          <c:val>
            <c:numRef>
              <c:f>Sheet7!$S$4:$S$6</c:f>
              <c:numCache>
                <c:formatCode>General</c:formatCode>
                <c:ptCount val="2"/>
                <c:pt idx="0">
                  <c:v>252031.47999999992</c:v>
                </c:pt>
                <c:pt idx="1">
                  <c:v>183788.95999999996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86-413B-BEC7-56DE52DF9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[Data-Final Assignment.xlsx]Sheet7!PivotTable7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type</a:t>
            </a:r>
          </a:p>
        </c:rich>
      </c:tx>
      <c:layout>
        <c:manualLayout>
          <c:xMode val="edge"/>
          <c:yMode val="edge"/>
          <c:x val="0.53775678040244979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14111204399162"/>
          <c:y val="0.28612869003241093"/>
          <c:w val="0.51635147911986501"/>
          <c:h val="0.6644275522420019"/>
        </c:manualLayout>
      </c:layout>
      <c:doughnutChart>
        <c:varyColors val="1"/>
        <c:ser>
          <c:idx val="0"/>
          <c:order val="0"/>
          <c:tx>
            <c:strRef>
              <c:f>Sheet7!$X$3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6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38D-45AA-A9F2-8BD8423AC5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Sheet7!$W$4:$W$7</c:f>
              <c:strCache>
                <c:ptCount val="3"/>
                <c:pt idx="0">
                  <c:v>Online</c:v>
                </c:pt>
                <c:pt idx="1">
                  <c:v>Retail Sales</c:v>
                </c:pt>
                <c:pt idx="2">
                  <c:v>Wholesaler</c:v>
                </c:pt>
              </c:strCache>
            </c:strRef>
          </c:cat>
          <c:val>
            <c:numRef>
              <c:f>Sheet7!$X$4:$X$7</c:f>
              <c:numCache>
                <c:formatCode>General</c:formatCode>
                <c:ptCount val="3"/>
                <c:pt idx="0">
                  <c:v>154019.16</c:v>
                </c:pt>
                <c:pt idx="1">
                  <c:v>95499.7</c:v>
                </c:pt>
                <c:pt idx="2">
                  <c:v>186301.58000000002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D-45AA-A9F2-8BD8423AC5D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[Data-Final Assignment.xlsx]Sheet7!Quantity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12700" cmpd="sng">
                  <a:solidFill>
                    <a:schemeClr val="accent4"/>
                  </a:solidFill>
                  <a:prstDash val="solid"/>
                </a:ln>
                <a:gradFill>
                  <a:gsLst>
                    <a:gs pos="0">
                      <a:schemeClr val="accent4"/>
                    </a:gs>
                    <a:gs pos="4000">
                      <a:schemeClr val="accent4">
                        <a:lumMod val="60000"/>
                        <a:lumOff val="40000"/>
                      </a:schemeClr>
                    </a:gs>
                    <a:gs pos="87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/>
                </a:gradFill>
                <a:effectLst/>
              </a:rPr>
              <a:t>Quantity of selling</a:t>
            </a:r>
            <a:r>
              <a:rPr lang="en-US" b="1" cap="none" spc="0" baseline="0">
                <a:ln w="12700" cmpd="sng">
                  <a:solidFill>
                    <a:schemeClr val="accent4"/>
                  </a:solidFill>
                  <a:prstDash val="solid"/>
                </a:ln>
                <a:gradFill>
                  <a:gsLst>
                    <a:gs pos="0">
                      <a:schemeClr val="accent4"/>
                    </a:gs>
                    <a:gs pos="4000">
                      <a:schemeClr val="accent4">
                        <a:lumMod val="60000"/>
                        <a:lumOff val="40000"/>
                      </a:schemeClr>
                    </a:gs>
                    <a:gs pos="87000">
                      <a:schemeClr val="accent4">
                        <a:lumMod val="20000"/>
                        <a:lumOff val="80000"/>
                      </a:schemeClr>
                    </a:gs>
                  </a:gsLst>
                  <a:lin ang="5400000"/>
                </a:gradFill>
                <a:effectLst/>
              </a:rPr>
              <a:t>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Sheet7!$AB$3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Sheet7!$AA$4:$AA$7</c:f>
              <c:strCache>
                <c:ptCount val="3"/>
                <c:pt idx="0">
                  <c:v>Online</c:v>
                </c:pt>
                <c:pt idx="1">
                  <c:v>Retail Sales</c:v>
                </c:pt>
                <c:pt idx="2">
                  <c:v>Wholesaler</c:v>
                </c:pt>
              </c:strCache>
            </c:strRef>
          </c:cat>
          <c:val>
            <c:numRef>
              <c:f>Sheet7!$AB$4:$AB$7</c:f>
              <c:numCache>
                <c:formatCode>General</c:formatCode>
                <c:ptCount val="3"/>
                <c:pt idx="0">
                  <c:v>1576</c:v>
                </c:pt>
                <c:pt idx="1">
                  <c:v>1012</c:v>
                </c:pt>
                <c:pt idx="2">
                  <c:v>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2C-4A51-936D-4AAD73B97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1048287"/>
        <c:axId val="1141066591"/>
      </c:lineChart>
      <c:catAx>
        <c:axId val="114104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66591"/>
        <c:crosses val="autoZero"/>
        <c:auto val="1"/>
        <c:lblAlgn val="ctr"/>
        <c:lblOffset val="100"/>
        <c:noMultiLvlLbl val="0"/>
      </c:catAx>
      <c:valAx>
        <c:axId val="11410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04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14</xdr:row>
      <xdr:rowOff>120650</xdr:rowOff>
    </xdr:from>
    <xdr:to>
      <xdr:col>2</xdr:col>
      <xdr:colOff>533400</xdr:colOff>
      <xdr:row>24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C9E6E-514B-4DA7-88A0-21ED96D26B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117475</xdr:colOff>
      <xdr:row>10</xdr:row>
      <xdr:rowOff>19050</xdr:rowOff>
    </xdr:from>
    <xdr:to>
      <xdr:col>5</xdr:col>
      <xdr:colOff>387350</xdr:colOff>
      <xdr:row>22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741CD5-0040-43F4-ABA5-EE07031BE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612775</xdr:colOff>
      <xdr:row>16</xdr:row>
      <xdr:rowOff>82551</xdr:rowOff>
    </xdr:from>
    <xdr:to>
      <xdr:col>10</xdr:col>
      <xdr:colOff>260350</xdr:colOff>
      <xdr:row>28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BB088-3F6F-47A1-8B36-CB5F2CD1A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396875</xdr:colOff>
      <xdr:row>16</xdr:row>
      <xdr:rowOff>82550</xdr:rowOff>
    </xdr:from>
    <xdr:to>
      <xdr:col>16</xdr:col>
      <xdr:colOff>317500</xdr:colOff>
      <xdr:row>29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3B736B-8202-48E5-8962-65D022F3C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469900</xdr:colOff>
      <xdr:row>30</xdr:row>
      <xdr:rowOff>19050</xdr:rowOff>
    </xdr:from>
    <xdr:to>
      <xdr:col>14</xdr:col>
      <xdr:colOff>203200</xdr:colOff>
      <xdr:row>37</xdr:row>
      <xdr:rowOff>76200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7" name="DATE">
              <a:extLst>
                <a:ext uri="{FF2B5EF4-FFF2-40B4-BE49-F238E27FC236}">
                  <a16:creationId xmlns:a16="http://schemas.microsoft.com/office/drawing/2014/main" id="{BACA2380-FF31-4CD7-831F-202A59C22E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39350" y="5543550"/>
              <a:ext cx="316865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17</xdr:col>
      <xdr:colOff>3175</xdr:colOff>
      <xdr:row>6</xdr:row>
      <xdr:rowOff>142875</xdr:rowOff>
    </xdr:from>
    <xdr:to>
      <xdr:col>20</xdr:col>
      <xdr:colOff>127000</xdr:colOff>
      <xdr:row>16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15CCB7-377A-4C3F-8A11-7FC1663C4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139699</xdr:colOff>
      <xdr:row>8</xdr:row>
      <xdr:rowOff>12700</xdr:rowOff>
    </xdr:from>
    <xdr:to>
      <xdr:col>24</xdr:col>
      <xdr:colOff>254000</xdr:colOff>
      <xdr:row>21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9C26B78-8E83-4E5C-8955-ECCB7D1A9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228600</xdr:colOff>
      <xdr:row>7</xdr:row>
      <xdr:rowOff>155575</xdr:rowOff>
    </xdr:from>
    <xdr:to>
      <xdr:col>31</xdr:col>
      <xdr:colOff>273050</xdr:colOff>
      <xdr:row>19</xdr:row>
      <xdr:rowOff>107950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41F6610-7487-47F9-9FFA-F99FFFB2C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868.855630787039" createdVersion="7" refreshedVersion="7" minRefreshableVersion="3" recordCount="427" xr:uid="{5EFBEB23-C886-44CC-AEA7-5122877A163D}">
  <cacheSource type="worksheet">
    <worksheetSource ref="A1:M428" sheet="Sales Report"/>
  </cacheSource>
  <cacheFields count="13">
    <cacheField name="DATE" numFmtId="14">
      <sharedItems containsSemiMixedTypes="0" containsNonDate="0" containsDate="1" containsString="0" minDate="2024-01-01T00:00:00" maxDate="2025-03-03T00:00:00" count="427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  <d v="2024-02-20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</sharedItems>
    </cacheField>
    <cacheField name="PRODUCT ID" numFmtId="0">
      <sharedItems/>
    </cacheField>
    <cacheField name="QTY" numFmtId="0">
      <sharedItems containsSemiMixedTypes="0" containsString="0" containsNumber="1" containsInteger="1" minValue="1" maxValue="20"/>
    </cacheField>
    <cacheField name="SALES TYPE" numFmtId="0">
      <sharedItems count="3">
        <s v="Wholesaler"/>
        <s v="Online"/>
        <s v="Retail Sales"/>
      </sharedItems>
    </cacheField>
    <cacheField name="PAYMENT MODE" numFmtId="0">
      <sharedItems count="2">
        <s v="Online"/>
        <s v="Cash"/>
      </sharedItems>
    </cacheField>
    <cacheField name="BUYING PRICE" numFmtId="0">
      <sharedItems containsSemiMixedTypes="0" containsString="0" containsNumber="1" containsInteger="1" minValue="10" maxValue="136"/>
    </cacheField>
    <cacheField name="SELLING PRICE" numFmtId="0">
      <sharedItems containsSemiMixedTypes="0" containsString="0" containsNumber="1" minValue="11.2" maxValue="224.4"/>
    </cacheField>
    <cacheField name="COST VALUE" numFmtId="0">
      <sharedItems containsSemiMixedTypes="0" containsString="0" containsNumber="1" containsInteger="1" minValue="10" maxValue="2720"/>
    </cacheField>
    <cacheField name="SELLING VALUE" numFmtId="0">
      <sharedItems containsSemiMixedTypes="0" containsString="0" containsNumber="1" minValue="11.2" maxValue="4039.2000000000003"/>
    </cacheField>
    <cacheField name="PROFIT" numFmtId="0">
      <sharedItems containsSemiMixedTypes="0" containsString="0" containsNumber="1" minValue="1.1999999999999993" maxValue="1591.2000000000003" count="291">
        <n v="176.80000000000018"/>
        <n v="28.159999999999997"/>
        <n v="34.44"/>
        <n v="60.72"/>
        <n v="253.44000000000005"/>
        <n v="12"/>
        <n v="145.59999999999997"/>
        <n v="44"/>
        <n v="634.88000000000011"/>
        <n v="18.200000000000017"/>
        <n v="292.73999999999978"/>
        <n v="14.400000000000006"/>
        <n v="380.79999999999995"/>
        <n v="17.28"/>
        <n v="4.7999999999999972"/>
        <n v="12.800000000000011"/>
        <n v="193.20000000000005"/>
        <n v="1036.0700000000002"/>
        <n v="15.36"/>
        <n v="555.52"/>
        <n v="25.47999999999999"/>
        <n v="11.200000000000017"/>
        <n v="24.639999999999986"/>
        <n v="266"/>
        <n v="756.45000000000027"/>
        <n v="57.199999999999989"/>
        <n v="357.12000000000012"/>
        <n v="75.599999999999909"/>
        <n v="168.96000000000004"/>
        <n v="163.79999999999995"/>
        <n v="347.89999999999986"/>
        <n v="161.20000000000005"/>
        <n v="42.560000000000059"/>
        <n v="87.400000000000034"/>
        <n v="564.20000000000027"/>
        <n v="200.19999999999993"/>
        <n v="611.80000000000018"/>
        <n v="82.800000000000011"/>
        <n v="172.90000000000009"/>
        <n v="193.44000000000005"/>
        <n v="282.90000000000009"/>
        <n v="145.07999999999993"/>
        <n v="3.5999999999999943"/>
        <n v="15.600000000000023"/>
        <n v="34.440000000000012"/>
        <n v="184.50000000000023"/>
        <n v="9.5999999999999943"/>
        <n v="252.15000000000009"/>
        <n v="32"/>
        <n v="124.79999999999995"/>
        <n v="27.599999999999994"/>
        <n v="31.199999999999989"/>
        <n v="32.800000000000011"/>
        <n v="123.75999999999999"/>
        <n v="30.72"/>
        <n v="12.300000000000011"/>
        <n v="497"/>
        <n v="343"/>
        <n v="870.40000000000009"/>
        <n v="856.79999999999973"/>
        <n v="44.800000000000068"/>
        <n v="18.899999999999977"/>
        <n v="59.5"/>
        <n v="407.68000000000029"/>
        <n v="17.920000000000016"/>
        <n v="51.120000000000005"/>
        <n v="50.430000000000007"/>
        <n v="323.04999999999995"/>
        <n v="78.720000000000027"/>
        <n v="254.79999999999995"/>
        <n v="958.17000000000007"/>
        <n v="50.399999999999977"/>
        <n v="644.80000000000018"/>
        <n v="83.07000000000005"/>
        <n v="607.59999999999991"/>
        <n v="93.480000000000018"/>
        <n v="514.79999999999995"/>
        <n v="137.20000000000005"/>
        <n v="55.200000000000017"/>
        <n v="447.29999999999995"/>
        <n v="20.159999999999997"/>
        <n v="559.65000000000009"/>
        <n v="214.19999999999982"/>
        <n v="15.599999999999994"/>
        <n v="27.359999999999985"/>
        <n v="140.13999999999987"/>
        <n v="372.75"/>
        <n v="477.40000000000009"/>
        <n v="15.680000000000007"/>
        <n v="5.2000000000000028"/>
        <n v="339.48"/>
        <n v="125.44000000000005"/>
        <n v="428.39999999999986"/>
        <n v="9.8400000000000034"/>
        <n v="73.800000000000011"/>
        <n v="85.799999999999983"/>
        <n v="400.39999999999986"/>
        <n v="142.79999999999995"/>
        <n v="104.88"/>
        <n v="109.06"/>
        <n v="348.16000000000008"/>
        <n v="123"/>
        <n v="52.799999999999955"/>
        <n v="515.84000000000015"/>
        <n v="102.24000000000001"/>
        <n v="172.20000000000005"/>
        <n v="49.680000000000007"/>
        <n v="12.599999999999994"/>
        <n v="183.53999999999996"/>
        <n v="306.2800000000002"/>
        <n v="106.08000000000004"/>
        <n v="87.04000000000002"/>
        <n v="81.899999999999977"/>
        <n v="28"/>
        <n v="88"/>
        <n v="88.560000000000059"/>
        <n v="372.40000000000009"/>
        <n v="68.159999999999968"/>
        <n v="63.960000000000036"/>
        <n v="583.10000000000036"/>
        <n v="79.800000000000068"/>
        <n v="18.460000000000008"/>
        <n v="110.70000000000005"/>
        <n v="135.30000000000018"/>
        <n v="10.079999999999998"/>
        <n v="24"/>
        <n v="209.55999999999995"/>
        <n v="1.1999999999999993"/>
        <n v="73.840000000000032"/>
        <n v="618.79999999999995"/>
        <n v="211.19999999999993"/>
        <n v="167.57999999999993"/>
        <n v="36.920000000000016"/>
        <n v="209.10000000000036"/>
        <n v="59.639999999999986"/>
        <n v="478.72"/>
        <n v="20.160000000000025"/>
        <n v="282.24000000000024"/>
        <n v="700.69999999999982"/>
        <n v="138.45000000000005"/>
        <n v="6"/>
        <n v="1128.4000000000005"/>
        <n v="43.400000000000006"/>
        <n v="55.379999999999995"/>
        <n v="10.799999999999997"/>
        <n v="1131.6000000000004"/>
        <n v="627.90000000000009"/>
        <n v="8.3999999999999915"/>
        <n v="382.19999999999993"/>
        <n v="21.599999999999994"/>
        <n v="12.739999999999995"/>
        <n v="7.1999999999999886"/>
        <n v="725.40000000000009"/>
        <n v="1370.2000000000003"/>
        <n v="436.48"/>
        <n v="439.04000000000019"/>
        <n v="18.620000000000005"/>
        <n v="274.03999999999996"/>
        <n v="82"/>
        <n v="25.919999999999987"/>
        <n v="201.59999999999991"/>
        <n v="403.00000000000011"/>
        <n v="242.05999999999995"/>
        <n v="917.70000000000027"/>
        <n v="298.19999999999982"/>
        <n v="144.83999999999992"/>
        <n v="114.65999999999985"/>
        <n v="29.120000000000033"/>
        <n v="714.24000000000024"/>
        <n v="434"/>
        <n v="83.640000000000043"/>
        <n v="143"/>
        <n v="71.759999999999991"/>
        <n v="572"/>
        <n v="14.399999999999977"/>
        <n v="520.80000000000018"/>
        <n v="343.19999999999993"/>
        <n v="891.79999999999973"/>
        <n v="16"/>
        <n v="36.900000000000006"/>
        <n v="12.959999999999994"/>
        <n v="244.72000000000003"/>
        <n v="80.079999999999927"/>
        <n v="676.20000000000027"/>
        <n v="171.59999999999997"/>
        <n v="19.199999999999989"/>
        <n v="3.2000000000000028"/>
        <n v="254.79999999999973"/>
        <n v="241.07999999999993"/>
        <n v="22.08"/>
        <n v="174.08000000000004"/>
        <n v="20.399999999999977"/>
        <n v="783.36000000000013"/>
        <n v="972.40000000000009"/>
        <n v="239.40000000000009"/>
        <n v="297.92000000000007"/>
        <n v="122.36000000000001"/>
        <n v="226.79999999999973"/>
        <n v="104"/>
        <n v="88.32"/>
        <n v="156.91000000000008"/>
        <n v="148.96000000000004"/>
        <n v="177.32000000000016"/>
        <n v="49"/>
        <n v="25.600000000000023"/>
        <n v="1531.4000000000005"/>
        <n v="2.6000000000000014"/>
        <n v="6.720000000000006"/>
        <n v="44.28000000000003"/>
        <n v="1591.2000000000003"/>
        <n v="93.100000000000023"/>
        <n v="486.19999999999982"/>
        <n v="226.32000000000005"/>
        <n v="927.01000000000022"/>
        <n v="9.1000000000000085"/>
        <n v="64.610000000000014"/>
        <n v="123.4799999999999"/>
        <n v="861"/>
        <n v="548.80000000000018"/>
        <n v="2.879999999999999"/>
        <n v="724.5"/>
        <n v="13.199999999999989"/>
        <n v="952"/>
        <n v="884"/>
        <n v="622.38000000000011"/>
        <n v="48.360000000000014"/>
        <n v="59.04000000000002"/>
        <n v="66.5"/>
        <n v="1082.8999999999996"/>
        <n v="123.19999999999993"/>
        <n v="138.59999999999991"/>
        <n v="905.2800000000002"/>
        <n v="2.3999999999999986"/>
        <n v="119.27999999999997"/>
        <n v="304.6400000000001"/>
        <n v="49.200000000000017"/>
        <n v="674.56"/>
        <n v="28.800000000000011"/>
        <n v="165.61999999999989"/>
        <n v="571.19999999999982"/>
        <n v="17.039999999999992"/>
        <n v="22"/>
        <n v="153.3599999999999"/>
        <n v="98.56"/>
        <n v="114.39999999999998"/>
        <n v="54.53"/>
        <n v="73.800000000000068"/>
        <n v="1414.4"/>
        <n v="4.8000000000000043"/>
        <n v="501.76000000000022"/>
        <n v="86.800000000000011"/>
        <n v="233.70000000000027"/>
        <n v="194.48000000000002"/>
        <n v="13.800000000000004"/>
        <n v="119.70000000000005"/>
        <n v="186.20000000000027"/>
        <n v="6.2999999999999972"/>
        <n v="516.60000000000014"/>
        <n v="6.4000000000000057"/>
        <n v="22.400000000000034"/>
        <n v="483"/>
        <n v="476.16000000000008"/>
        <n v="228.79999999999995"/>
        <n v="817.95000000000027"/>
        <n v="37.799999999999955"/>
        <n v="322.40000000000009"/>
        <n v="309.96000000000004"/>
        <n v="69.700000000000017"/>
        <n v="99.399999999999977"/>
        <n v="240.10000000000014"/>
        <n v="316.53999999999996"/>
        <n v="63"/>
        <n v="94.5"/>
        <n v="176.39999999999986"/>
        <n v="64.480000000000018"/>
        <n v="208"/>
        <n v="15.840000000000003"/>
        <n v="205.80000000000007"/>
        <n v="70.399999999999977"/>
        <n v="367.07999999999993"/>
        <n v="92.300000000000068"/>
        <n v="170.39999999999986"/>
        <n v="61.599999999999966"/>
        <n v="886.60000000000036"/>
        <n v="338.10000000000014"/>
        <n v="46.150000000000034"/>
        <n v="56.320000000000022"/>
        <n v="16.799999999999983"/>
        <n v="20.799999999999997"/>
        <n v="347.20000000000005"/>
        <n v="472.14999999999986"/>
      </sharedItems>
    </cacheField>
    <cacheField name="PRODUCT" numFmtId="0">
      <sharedItems count="50">
        <s v="Dove Soap"/>
        <s v="Colgate Toothpaste"/>
        <s v="Lifebuoy Handwash"/>
        <s v="Nivea Body Lotion"/>
        <s v="Gillette Shaving Foam"/>
        <s v="Pantene Shampoo"/>
        <s v="Dettol Antiseptic Liquid"/>
        <s v="Himalaya Face Wash"/>
        <s v="Vaseline Lip Care"/>
        <s v="Johnson’s Baby Powder"/>
        <s v="Coca-Cola Can"/>
        <s v="Pepsi Bottle"/>
        <s v="Red Bull"/>
        <s v="Tropicana Orange Juice"/>
        <s v="Minute Maid Pulpy"/>
        <s v="Frooti Mango Drink"/>
        <s v="Nestlé Iced Tea"/>
        <s v="Real Mixed Fruit Juice"/>
        <s v="Amul Kool Flavored Milk"/>
        <s v="Paper Boat Aam Panna"/>
        <s v="Maggi Noodles"/>
        <s v="Sunfeast Biscuits"/>
        <s v="Nestlé Cerelac"/>
        <s v="MTR Ready Curry"/>
        <s v="Haldiram's Bhujia"/>
        <s v="Lay's Chips"/>
        <s v="Kellogg’s Corn Flakes"/>
        <s v="Britannia Cake"/>
        <s v="Yippee Noodles"/>
        <s v="Top Ramen"/>
        <s v="Surf Excel Detergent"/>
        <s v="Vim Dishwash Bar"/>
        <s v="Harpic Toilet Cleaner"/>
        <s v="Lizol Floor Cleaner"/>
        <s v="Domex Disinfectant"/>
        <s v="Rin Bar"/>
        <s v="Scotch-Brite Scrub Pad"/>
        <s v="Pril Dishwash Liquid"/>
        <s v="Exo Dishwash Bar"/>
        <s v="Odonil Room Freshener"/>
        <s v="Whisper Sanitary Pads"/>
        <s v="Sofy Pantyliners"/>
        <s v="Kleenex Tissue Box"/>
        <s v="Origami Kitchen Towels"/>
        <s v="Stayfree Ultra"/>
        <s v="Scott Toilet Paper"/>
        <s v="Bella Napkins"/>
        <s v="Everteen Wipes"/>
        <s v="Premier Facial Tissues"/>
        <s v="Wet Wipes - Himalaya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CATEGORY" numFmtId="0">
      <sharedItems count="5">
        <s v="Personal Care"/>
        <s v="Beverages"/>
        <s v="Packaged Foods"/>
        <s v="Household Cleaning"/>
        <s v="Paper &amp; Essentials"/>
      </sharedItems>
    </cacheField>
  </cacheFields>
  <extLst>
    <ext xmlns:x14="http://schemas.microsoft.com/office/spreadsheetml/2009/9/main" uri="{725AE2AE-9491-48be-B2B4-4EB974FC3084}">
      <x14:pivotCacheDefinition pivotCacheId="179229131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">
  <r>
    <x v="0"/>
    <s v="P3004"/>
    <n v="10"/>
    <x v="0"/>
    <x v="0"/>
    <n v="136"/>
    <n v="153.68"/>
    <n v="1360"/>
    <n v="1536.8000000000002"/>
    <x v="0"/>
    <x v="0"/>
    <x v="0"/>
    <x v="0"/>
  </r>
  <r>
    <x v="1"/>
    <s v="P5001"/>
    <n v="2"/>
    <x v="1"/>
    <x v="1"/>
    <n v="44"/>
    <n v="58.08"/>
    <n v="88"/>
    <n v="116.16"/>
    <x v="1"/>
    <x v="1"/>
    <x v="0"/>
    <x v="0"/>
  </r>
  <r>
    <x v="2"/>
    <s v="P3003"/>
    <n v="2"/>
    <x v="2"/>
    <x v="1"/>
    <n v="123"/>
    <n v="140.22"/>
    <n v="246"/>
    <n v="280.44"/>
    <x v="2"/>
    <x v="2"/>
    <x v="0"/>
    <x v="0"/>
  </r>
  <r>
    <x v="3"/>
    <s v="P5010"/>
    <n v="11"/>
    <x v="2"/>
    <x v="0"/>
    <n v="12"/>
    <n v="17.52"/>
    <n v="132"/>
    <n v="192.72"/>
    <x v="3"/>
    <x v="3"/>
    <x v="0"/>
    <x v="0"/>
  </r>
  <r>
    <x v="4"/>
    <s v="P5001"/>
    <n v="18"/>
    <x v="1"/>
    <x v="1"/>
    <n v="44"/>
    <n v="58.08"/>
    <n v="792"/>
    <n v="1045.44"/>
    <x v="4"/>
    <x v="4"/>
    <x v="0"/>
    <x v="0"/>
  </r>
  <r>
    <x v="5"/>
    <s v="P1007"/>
    <n v="10"/>
    <x v="0"/>
    <x v="0"/>
    <n v="10"/>
    <n v="11.2"/>
    <n v="100"/>
    <n v="112"/>
    <x v="5"/>
    <x v="5"/>
    <x v="0"/>
    <x v="0"/>
  </r>
  <r>
    <x v="6"/>
    <s v="P5006"/>
    <n v="14"/>
    <x v="0"/>
    <x v="1"/>
    <n v="16"/>
    <n v="26.4"/>
    <n v="224"/>
    <n v="369.59999999999997"/>
    <x v="6"/>
    <x v="6"/>
    <x v="0"/>
    <x v="0"/>
  </r>
  <r>
    <x v="7"/>
    <s v="P3008"/>
    <n v="10"/>
    <x v="1"/>
    <x v="0"/>
    <n v="44"/>
    <n v="48.4"/>
    <n v="440"/>
    <n v="484"/>
    <x v="7"/>
    <x v="7"/>
    <x v="0"/>
    <x v="0"/>
  </r>
  <r>
    <x v="8"/>
    <s v="P4001"/>
    <n v="16"/>
    <x v="0"/>
    <x v="1"/>
    <n v="124"/>
    <n v="163.68"/>
    <n v="1984"/>
    <n v="2618.88"/>
    <x v="8"/>
    <x v="8"/>
    <x v="0"/>
    <x v="0"/>
  </r>
  <r>
    <x v="9"/>
    <s v="P4004"/>
    <n v="14"/>
    <x v="0"/>
    <x v="1"/>
    <n v="10"/>
    <n v="11.3"/>
    <n v="140"/>
    <n v="158.20000000000002"/>
    <x v="9"/>
    <x v="9"/>
    <x v="0"/>
    <x v="0"/>
  </r>
  <r>
    <x v="10"/>
    <s v="P3003"/>
    <n v="17"/>
    <x v="1"/>
    <x v="0"/>
    <n v="123"/>
    <n v="140.22"/>
    <n v="2091"/>
    <n v="2383.7399999999998"/>
    <x v="10"/>
    <x v="10"/>
    <x v="0"/>
    <x v="1"/>
  </r>
  <r>
    <x v="11"/>
    <s v="P2002"/>
    <n v="10"/>
    <x v="2"/>
    <x v="1"/>
    <n v="12"/>
    <n v="13.44"/>
    <n v="120"/>
    <n v="134.4"/>
    <x v="11"/>
    <x v="11"/>
    <x v="0"/>
    <x v="1"/>
  </r>
  <r>
    <x v="12"/>
    <s v="P5009"/>
    <n v="8"/>
    <x v="2"/>
    <x v="1"/>
    <n v="136"/>
    <n v="183.6"/>
    <n v="1088"/>
    <n v="1468.8"/>
    <x v="12"/>
    <x v="12"/>
    <x v="0"/>
    <x v="1"/>
  </r>
  <r>
    <x v="13"/>
    <s v="P2002"/>
    <n v="12"/>
    <x v="1"/>
    <x v="0"/>
    <n v="12"/>
    <n v="13.44"/>
    <n v="144"/>
    <n v="161.28"/>
    <x v="13"/>
    <x v="13"/>
    <x v="0"/>
    <x v="1"/>
  </r>
  <r>
    <x v="14"/>
    <s v="P5007"/>
    <n v="4"/>
    <x v="0"/>
    <x v="1"/>
    <n v="10"/>
    <n v="11.2"/>
    <n v="40"/>
    <n v="44.8"/>
    <x v="14"/>
    <x v="14"/>
    <x v="0"/>
    <x v="1"/>
  </r>
  <r>
    <x v="15"/>
    <s v="P1008"/>
    <n v="8"/>
    <x v="0"/>
    <x v="0"/>
    <n v="16"/>
    <n v="17.600000000000001"/>
    <n v="128"/>
    <n v="140.80000000000001"/>
    <x v="15"/>
    <x v="15"/>
    <x v="0"/>
    <x v="1"/>
  </r>
  <r>
    <x v="16"/>
    <s v="P4010"/>
    <n v="4"/>
    <x v="1"/>
    <x v="1"/>
    <n v="105"/>
    <n v="153.30000000000001"/>
    <n v="420"/>
    <n v="613.20000000000005"/>
    <x v="16"/>
    <x v="16"/>
    <x v="0"/>
    <x v="1"/>
  </r>
  <r>
    <x v="17"/>
    <s v="P1005"/>
    <n v="19"/>
    <x v="0"/>
    <x v="0"/>
    <n v="133"/>
    <n v="187.53"/>
    <n v="2527"/>
    <n v="3563.07"/>
    <x v="17"/>
    <x v="17"/>
    <x v="0"/>
    <x v="1"/>
  </r>
  <r>
    <x v="18"/>
    <s v="P3001"/>
    <n v="3"/>
    <x v="0"/>
    <x v="1"/>
    <n v="16"/>
    <n v="21.12"/>
    <n v="48"/>
    <n v="63.36"/>
    <x v="18"/>
    <x v="18"/>
    <x v="0"/>
    <x v="1"/>
  </r>
  <r>
    <x v="19"/>
    <s v="P4001"/>
    <n v="14"/>
    <x v="1"/>
    <x v="1"/>
    <n v="124"/>
    <n v="163.68"/>
    <n v="1736"/>
    <n v="2291.52"/>
    <x v="19"/>
    <x v="19"/>
    <x v="0"/>
    <x v="1"/>
  </r>
  <r>
    <x v="20"/>
    <s v="P2004"/>
    <n v="2"/>
    <x v="2"/>
    <x v="0"/>
    <n v="98"/>
    <n v="110.74"/>
    <n v="196"/>
    <n v="221.48"/>
    <x v="20"/>
    <x v="20"/>
    <x v="0"/>
    <x v="2"/>
  </r>
  <r>
    <x v="21"/>
    <s v="P1008"/>
    <n v="7"/>
    <x v="2"/>
    <x v="1"/>
    <n v="16"/>
    <n v="17.600000000000001"/>
    <n v="112"/>
    <n v="123.20000000000002"/>
    <x v="21"/>
    <x v="21"/>
    <x v="0"/>
    <x v="2"/>
  </r>
  <r>
    <x v="22"/>
    <s v="P1003"/>
    <n v="4"/>
    <x v="1"/>
    <x v="1"/>
    <n v="44"/>
    <n v="50.16"/>
    <n v="176"/>
    <n v="200.64"/>
    <x v="22"/>
    <x v="22"/>
    <x v="0"/>
    <x v="2"/>
  </r>
  <r>
    <x v="23"/>
    <s v="P2008"/>
    <n v="20"/>
    <x v="0"/>
    <x v="0"/>
    <n v="133"/>
    <n v="146.30000000000001"/>
    <n v="2660"/>
    <n v="2926"/>
    <x v="23"/>
    <x v="23"/>
    <x v="0"/>
    <x v="2"/>
  </r>
  <r>
    <x v="24"/>
    <s v="P4005"/>
    <n v="15"/>
    <x v="0"/>
    <x v="1"/>
    <n v="123"/>
    <n v="173.43"/>
    <n v="1845"/>
    <n v="2601.4500000000003"/>
    <x v="24"/>
    <x v="24"/>
    <x v="0"/>
    <x v="2"/>
  </r>
  <r>
    <x v="25"/>
    <s v="P2006"/>
    <n v="2"/>
    <x v="1"/>
    <x v="0"/>
    <n v="44"/>
    <n v="72.599999999999994"/>
    <n v="88"/>
    <n v="145.19999999999999"/>
    <x v="25"/>
    <x v="25"/>
    <x v="0"/>
    <x v="2"/>
  </r>
  <r>
    <x v="26"/>
    <s v="P4001"/>
    <n v="9"/>
    <x v="0"/>
    <x v="1"/>
    <n v="124"/>
    <n v="163.68"/>
    <n v="1116"/>
    <n v="1473.1200000000001"/>
    <x v="26"/>
    <x v="26"/>
    <x v="0"/>
    <x v="2"/>
  </r>
  <r>
    <x v="27"/>
    <s v="P1002"/>
    <n v="6"/>
    <x v="0"/>
    <x v="0"/>
    <n v="105"/>
    <n v="117.6"/>
    <n v="630"/>
    <n v="705.59999999999991"/>
    <x v="27"/>
    <x v="27"/>
    <x v="0"/>
    <x v="2"/>
  </r>
  <r>
    <x v="28"/>
    <s v="P5009"/>
    <n v="8"/>
    <x v="1"/>
    <x v="1"/>
    <n v="136"/>
    <n v="183.6"/>
    <n v="1088"/>
    <n v="1468.8"/>
    <x v="12"/>
    <x v="28"/>
    <x v="0"/>
    <x v="2"/>
  </r>
  <r>
    <x v="29"/>
    <s v="P5001"/>
    <n v="12"/>
    <x v="2"/>
    <x v="1"/>
    <n v="44"/>
    <n v="58.08"/>
    <n v="528"/>
    <n v="696.96"/>
    <x v="28"/>
    <x v="29"/>
    <x v="0"/>
    <x v="2"/>
  </r>
  <r>
    <x v="30"/>
    <s v="P3007"/>
    <n v="13"/>
    <x v="2"/>
    <x v="0"/>
    <n v="105"/>
    <n v="117.6"/>
    <n v="1365"/>
    <n v="1528.8"/>
    <x v="29"/>
    <x v="30"/>
    <x v="0"/>
    <x v="3"/>
  </r>
  <r>
    <x v="31"/>
    <s v="P3009"/>
    <n v="14"/>
    <x v="1"/>
    <x v="1"/>
    <n v="71"/>
    <n v="95.85"/>
    <n v="994"/>
    <n v="1341.8999999999999"/>
    <x v="30"/>
    <x v="31"/>
    <x v="1"/>
    <x v="3"/>
  </r>
  <r>
    <x v="32"/>
    <s v="P1006"/>
    <n v="2"/>
    <x v="0"/>
    <x v="1"/>
    <n v="124"/>
    <n v="204.60000000000002"/>
    <n v="248"/>
    <n v="409.20000000000005"/>
    <x v="31"/>
    <x v="32"/>
    <x v="1"/>
    <x v="3"/>
  </r>
  <r>
    <x v="33"/>
    <s v="P4003"/>
    <n v="19"/>
    <x v="0"/>
    <x v="0"/>
    <n v="16"/>
    <n v="18.240000000000002"/>
    <n v="304"/>
    <n v="346.56000000000006"/>
    <x v="32"/>
    <x v="33"/>
    <x v="1"/>
    <x v="3"/>
  </r>
  <r>
    <x v="34"/>
    <s v="P2010"/>
    <n v="19"/>
    <x v="1"/>
    <x v="1"/>
    <n v="10"/>
    <n v="14.600000000000001"/>
    <n v="190"/>
    <n v="277.40000000000003"/>
    <x v="33"/>
    <x v="34"/>
    <x v="1"/>
    <x v="3"/>
  </r>
  <r>
    <x v="35"/>
    <s v="P1006"/>
    <n v="7"/>
    <x v="0"/>
    <x v="0"/>
    <n v="124"/>
    <n v="204.60000000000002"/>
    <n v="868"/>
    <n v="1432.2000000000003"/>
    <x v="34"/>
    <x v="35"/>
    <x v="1"/>
    <x v="3"/>
  </r>
  <r>
    <x v="36"/>
    <s v="P5006"/>
    <n v="14"/>
    <x v="0"/>
    <x v="1"/>
    <n v="16"/>
    <n v="26.4"/>
    <n v="224"/>
    <n v="369.59999999999997"/>
    <x v="6"/>
    <x v="36"/>
    <x v="1"/>
    <x v="3"/>
  </r>
  <r>
    <x v="37"/>
    <s v="P2006"/>
    <n v="7"/>
    <x v="1"/>
    <x v="0"/>
    <n v="44"/>
    <n v="72.599999999999994"/>
    <n v="308"/>
    <n v="508.19999999999993"/>
    <x v="35"/>
    <x v="37"/>
    <x v="1"/>
    <x v="3"/>
  </r>
  <r>
    <x v="38"/>
    <s v="P3010"/>
    <n v="10"/>
    <x v="2"/>
    <x v="1"/>
    <n v="133"/>
    <n v="194.18"/>
    <n v="1330"/>
    <n v="1941.8000000000002"/>
    <x v="36"/>
    <x v="38"/>
    <x v="1"/>
    <x v="3"/>
  </r>
  <r>
    <x v="39"/>
    <s v="P2010"/>
    <n v="18"/>
    <x v="2"/>
    <x v="1"/>
    <n v="10"/>
    <n v="14.600000000000001"/>
    <n v="180"/>
    <n v="262.8"/>
    <x v="37"/>
    <x v="39"/>
    <x v="1"/>
    <x v="3"/>
  </r>
  <r>
    <x v="40"/>
    <s v="P2008"/>
    <n v="13"/>
    <x v="1"/>
    <x v="0"/>
    <n v="133"/>
    <n v="146.30000000000001"/>
    <n v="1729"/>
    <n v="1901.9"/>
    <x v="38"/>
    <x v="40"/>
    <x v="1"/>
    <x v="4"/>
  </r>
  <r>
    <x v="41"/>
    <s v="P5004"/>
    <n v="12"/>
    <x v="0"/>
    <x v="1"/>
    <n v="124"/>
    <n v="140.12"/>
    <n v="1488"/>
    <n v="1681.44"/>
    <x v="39"/>
    <x v="41"/>
    <x v="1"/>
    <x v="4"/>
  </r>
  <r>
    <x v="42"/>
    <s v="P1010"/>
    <n v="5"/>
    <x v="0"/>
    <x v="1"/>
    <n v="123"/>
    <n v="179.58"/>
    <n v="615"/>
    <n v="897.90000000000009"/>
    <x v="40"/>
    <x v="42"/>
    <x v="1"/>
    <x v="4"/>
  </r>
  <r>
    <x v="43"/>
    <s v="P5004"/>
    <n v="9"/>
    <x v="1"/>
    <x v="0"/>
    <n v="124"/>
    <n v="140.12"/>
    <n v="1116"/>
    <n v="1261.08"/>
    <x v="41"/>
    <x v="43"/>
    <x v="1"/>
    <x v="4"/>
  </r>
  <r>
    <x v="44"/>
    <s v="P3007"/>
    <n v="13"/>
    <x v="0"/>
    <x v="1"/>
    <n v="105"/>
    <n v="117.6"/>
    <n v="1365"/>
    <n v="1528.8"/>
    <x v="29"/>
    <x v="44"/>
    <x v="1"/>
    <x v="4"/>
  </r>
  <r>
    <x v="45"/>
    <s v="P3002"/>
    <n v="3"/>
    <x v="0"/>
    <x v="0"/>
    <n v="10"/>
    <n v="11.2"/>
    <n v="30"/>
    <n v="33.599999999999994"/>
    <x v="42"/>
    <x v="45"/>
    <x v="1"/>
    <x v="4"/>
  </r>
  <r>
    <x v="46"/>
    <s v="P4004"/>
    <n v="12"/>
    <x v="1"/>
    <x v="1"/>
    <n v="10"/>
    <n v="11.3"/>
    <n v="120"/>
    <n v="135.60000000000002"/>
    <x v="43"/>
    <x v="46"/>
    <x v="1"/>
    <x v="4"/>
  </r>
  <r>
    <x v="47"/>
    <s v="P3005"/>
    <n v="7"/>
    <x v="2"/>
    <x v="0"/>
    <n v="12"/>
    <n v="16.920000000000002"/>
    <n v="84"/>
    <n v="118.44000000000001"/>
    <x v="44"/>
    <x v="47"/>
    <x v="1"/>
    <x v="4"/>
  </r>
  <r>
    <x v="48"/>
    <s v="P5008"/>
    <n v="15"/>
    <x v="2"/>
    <x v="1"/>
    <n v="123"/>
    <n v="135.30000000000001"/>
    <n v="1845"/>
    <n v="2029.5000000000002"/>
    <x v="45"/>
    <x v="48"/>
    <x v="1"/>
    <x v="4"/>
  </r>
  <r>
    <x v="49"/>
    <s v="P3002"/>
    <n v="8"/>
    <x v="1"/>
    <x v="1"/>
    <n v="10"/>
    <n v="11.2"/>
    <n v="80"/>
    <n v="89.6"/>
    <x v="46"/>
    <x v="49"/>
    <x v="1"/>
    <x v="4"/>
  </r>
  <r>
    <x v="50"/>
    <s v="P4005"/>
    <n v="5"/>
    <x v="0"/>
    <x v="0"/>
    <n v="123"/>
    <n v="173.43"/>
    <n v="615"/>
    <n v="867.15000000000009"/>
    <x v="47"/>
    <x v="0"/>
    <x v="1"/>
    <x v="0"/>
  </r>
  <r>
    <x v="51"/>
    <s v="P1008"/>
    <n v="20"/>
    <x v="0"/>
    <x v="1"/>
    <n v="16"/>
    <n v="17.600000000000001"/>
    <n v="320"/>
    <n v="352"/>
    <x v="48"/>
    <x v="1"/>
    <x v="1"/>
    <x v="0"/>
  </r>
  <r>
    <x v="52"/>
    <s v="P3008"/>
    <n v="10"/>
    <x v="1"/>
    <x v="1"/>
    <n v="44"/>
    <n v="48.4"/>
    <n v="440"/>
    <n v="484"/>
    <x v="7"/>
    <x v="2"/>
    <x v="1"/>
    <x v="0"/>
  </r>
  <r>
    <x v="53"/>
    <s v="P5006"/>
    <n v="12"/>
    <x v="0"/>
    <x v="0"/>
    <n v="16"/>
    <n v="26.4"/>
    <n v="192"/>
    <n v="316.79999999999995"/>
    <x v="49"/>
    <x v="3"/>
    <x v="1"/>
    <x v="0"/>
  </r>
  <r>
    <x v="54"/>
    <s v="P5010"/>
    <n v="5"/>
    <x v="0"/>
    <x v="1"/>
    <n v="12"/>
    <n v="17.52"/>
    <n v="60"/>
    <n v="87.6"/>
    <x v="50"/>
    <x v="4"/>
    <x v="1"/>
    <x v="0"/>
  </r>
  <r>
    <x v="55"/>
    <s v="P5006"/>
    <n v="3"/>
    <x v="1"/>
    <x v="0"/>
    <n v="16"/>
    <n v="26.4"/>
    <n v="48"/>
    <n v="79.199999999999989"/>
    <x v="51"/>
    <x v="5"/>
    <x v="1"/>
    <x v="0"/>
  </r>
  <r>
    <x v="56"/>
    <s v="P5005"/>
    <n v="8"/>
    <x v="2"/>
    <x v="1"/>
    <n v="10"/>
    <n v="14.100000000000001"/>
    <n v="80"/>
    <n v="112.80000000000001"/>
    <x v="52"/>
    <x v="6"/>
    <x v="1"/>
    <x v="0"/>
  </r>
  <r>
    <x v="57"/>
    <s v="P3004"/>
    <n v="7"/>
    <x v="2"/>
    <x v="0"/>
    <n v="136"/>
    <n v="153.68"/>
    <n v="952"/>
    <n v="1075.76"/>
    <x v="53"/>
    <x v="7"/>
    <x v="1"/>
    <x v="0"/>
  </r>
  <r>
    <x v="58"/>
    <s v="P3001"/>
    <n v="6"/>
    <x v="1"/>
    <x v="1"/>
    <n v="16"/>
    <n v="21.12"/>
    <n v="96"/>
    <n v="126.72"/>
    <x v="54"/>
    <x v="8"/>
    <x v="1"/>
    <x v="0"/>
  </r>
  <r>
    <x v="59"/>
    <s v="P5008"/>
    <n v="1"/>
    <x v="0"/>
    <x v="1"/>
    <n v="123"/>
    <n v="135.30000000000001"/>
    <n v="123"/>
    <n v="135.30000000000001"/>
    <x v="55"/>
    <x v="9"/>
    <x v="1"/>
    <x v="0"/>
  </r>
  <r>
    <x v="60"/>
    <s v="P3009"/>
    <n v="14"/>
    <x v="0"/>
    <x v="0"/>
    <n v="71"/>
    <n v="95.85"/>
    <n v="994"/>
    <n v="1341.8999999999999"/>
    <x v="30"/>
    <x v="10"/>
    <x v="2"/>
    <x v="1"/>
  </r>
  <r>
    <x v="61"/>
    <s v="P3009"/>
    <n v="20"/>
    <x v="1"/>
    <x v="1"/>
    <n v="71"/>
    <n v="95.85"/>
    <n v="1420"/>
    <n v="1917"/>
    <x v="56"/>
    <x v="11"/>
    <x v="2"/>
    <x v="1"/>
  </r>
  <r>
    <x v="62"/>
    <s v="P3007"/>
    <n v="13"/>
    <x v="0"/>
    <x v="1"/>
    <n v="105"/>
    <n v="117.6"/>
    <n v="1365"/>
    <n v="1528.8"/>
    <x v="29"/>
    <x v="12"/>
    <x v="2"/>
    <x v="1"/>
  </r>
  <r>
    <x v="63"/>
    <s v="P4009"/>
    <n v="10"/>
    <x v="0"/>
    <x v="0"/>
    <n v="98"/>
    <n v="132.30000000000001"/>
    <n v="980"/>
    <n v="1323"/>
    <x v="57"/>
    <x v="13"/>
    <x v="2"/>
    <x v="1"/>
  </r>
  <r>
    <x v="64"/>
    <s v="P2001"/>
    <n v="20"/>
    <x v="1"/>
    <x v="1"/>
    <n v="136"/>
    <n v="179.52"/>
    <n v="2720"/>
    <n v="3590.4"/>
    <x v="58"/>
    <x v="14"/>
    <x v="2"/>
    <x v="1"/>
  </r>
  <r>
    <x v="65"/>
    <s v="P5009"/>
    <n v="18"/>
    <x v="2"/>
    <x v="0"/>
    <n v="136"/>
    <n v="183.6"/>
    <n v="2448"/>
    <n v="3304.7999999999997"/>
    <x v="59"/>
    <x v="15"/>
    <x v="2"/>
    <x v="1"/>
  </r>
  <r>
    <x v="66"/>
    <s v="P4003"/>
    <n v="20"/>
    <x v="2"/>
    <x v="1"/>
    <n v="16"/>
    <n v="18.240000000000002"/>
    <n v="320"/>
    <n v="364.80000000000007"/>
    <x v="60"/>
    <x v="16"/>
    <x v="2"/>
    <x v="1"/>
  </r>
  <r>
    <x v="67"/>
    <s v="P4008"/>
    <n v="3"/>
    <x v="1"/>
    <x v="0"/>
    <n v="63"/>
    <n v="69.3"/>
    <n v="189"/>
    <n v="207.89999999999998"/>
    <x v="61"/>
    <x v="17"/>
    <x v="2"/>
    <x v="1"/>
  </r>
  <r>
    <x v="68"/>
    <s v="P1009"/>
    <n v="17"/>
    <x v="0"/>
    <x v="1"/>
    <n v="10"/>
    <n v="13.5"/>
    <n v="170"/>
    <n v="229.5"/>
    <x v="62"/>
    <x v="18"/>
    <x v="2"/>
    <x v="1"/>
  </r>
  <r>
    <x v="69"/>
    <s v="P1001"/>
    <n v="13"/>
    <x v="0"/>
    <x v="1"/>
    <n v="98"/>
    <n v="129.36000000000001"/>
    <n v="1274"/>
    <n v="1681.6800000000003"/>
    <x v="63"/>
    <x v="19"/>
    <x v="2"/>
    <x v="1"/>
  </r>
  <r>
    <x v="70"/>
    <s v="P4003"/>
    <n v="8"/>
    <x v="1"/>
    <x v="0"/>
    <n v="16"/>
    <n v="18.240000000000002"/>
    <n v="128"/>
    <n v="145.92000000000002"/>
    <x v="64"/>
    <x v="20"/>
    <x v="2"/>
    <x v="2"/>
  </r>
  <r>
    <x v="71"/>
    <s v="P2007"/>
    <n v="6"/>
    <x v="0"/>
    <x v="1"/>
    <n v="71"/>
    <n v="79.52"/>
    <n v="426"/>
    <n v="477.12"/>
    <x v="65"/>
    <x v="21"/>
    <x v="2"/>
    <x v="2"/>
  </r>
  <r>
    <x v="72"/>
    <s v="P4005"/>
    <n v="1"/>
    <x v="0"/>
    <x v="1"/>
    <n v="123"/>
    <n v="173.43"/>
    <n v="123"/>
    <n v="173.43"/>
    <x v="66"/>
    <x v="22"/>
    <x v="2"/>
    <x v="2"/>
  </r>
  <r>
    <x v="73"/>
    <s v="P3009"/>
    <n v="13"/>
    <x v="1"/>
    <x v="0"/>
    <n v="71"/>
    <n v="95.85"/>
    <n v="923"/>
    <n v="1246.05"/>
    <x v="67"/>
    <x v="23"/>
    <x v="2"/>
    <x v="2"/>
  </r>
  <r>
    <x v="74"/>
    <s v="P3005"/>
    <n v="16"/>
    <x v="2"/>
    <x v="1"/>
    <n v="12"/>
    <n v="16.920000000000002"/>
    <n v="192"/>
    <n v="270.72000000000003"/>
    <x v="68"/>
    <x v="24"/>
    <x v="2"/>
    <x v="2"/>
  </r>
  <r>
    <x v="75"/>
    <s v="P3006"/>
    <n v="4"/>
    <x v="2"/>
    <x v="0"/>
    <n v="98"/>
    <n v="161.69999999999999"/>
    <n v="392"/>
    <n v="646.79999999999995"/>
    <x v="69"/>
    <x v="25"/>
    <x v="2"/>
    <x v="2"/>
  </r>
  <r>
    <x v="76"/>
    <s v="P4005"/>
    <n v="19"/>
    <x v="1"/>
    <x v="1"/>
    <n v="123"/>
    <n v="173.43"/>
    <n v="2337"/>
    <n v="3295.17"/>
    <x v="70"/>
    <x v="26"/>
    <x v="2"/>
    <x v="2"/>
  </r>
  <r>
    <x v="77"/>
    <s v="P1002"/>
    <n v="4"/>
    <x v="0"/>
    <x v="0"/>
    <n v="105"/>
    <n v="117.6"/>
    <n v="420"/>
    <n v="470.4"/>
    <x v="71"/>
    <x v="27"/>
    <x v="2"/>
    <x v="2"/>
  </r>
  <r>
    <x v="78"/>
    <s v="P1006"/>
    <n v="8"/>
    <x v="0"/>
    <x v="1"/>
    <n v="124"/>
    <n v="204.60000000000002"/>
    <n v="992"/>
    <n v="1636.8000000000002"/>
    <x v="72"/>
    <x v="28"/>
    <x v="2"/>
    <x v="2"/>
  </r>
  <r>
    <x v="79"/>
    <s v="P1004"/>
    <n v="9"/>
    <x v="1"/>
    <x v="1"/>
    <n v="71"/>
    <n v="80.23"/>
    <n v="639"/>
    <n v="722.07"/>
    <x v="73"/>
    <x v="29"/>
    <x v="2"/>
    <x v="2"/>
  </r>
  <r>
    <x v="80"/>
    <s v="P2009"/>
    <n v="14"/>
    <x v="0"/>
    <x v="0"/>
    <n v="124"/>
    <n v="167.4"/>
    <n v="1736"/>
    <n v="2343.6"/>
    <x v="74"/>
    <x v="30"/>
    <x v="2"/>
    <x v="3"/>
  </r>
  <r>
    <x v="81"/>
    <s v="P3005"/>
    <n v="19"/>
    <x v="0"/>
    <x v="1"/>
    <n v="12"/>
    <n v="16.920000000000002"/>
    <n v="228"/>
    <n v="321.48"/>
    <x v="75"/>
    <x v="31"/>
    <x v="2"/>
    <x v="3"/>
  </r>
  <r>
    <x v="82"/>
    <s v="P2006"/>
    <n v="18"/>
    <x v="1"/>
    <x v="1"/>
    <n v="44"/>
    <n v="72.599999999999994"/>
    <n v="792"/>
    <n v="1306.8"/>
    <x v="76"/>
    <x v="32"/>
    <x v="2"/>
    <x v="3"/>
  </r>
  <r>
    <x v="83"/>
    <s v="P4009"/>
    <n v="4"/>
    <x v="2"/>
    <x v="0"/>
    <n v="98"/>
    <n v="132.30000000000001"/>
    <n v="392"/>
    <n v="529.20000000000005"/>
    <x v="77"/>
    <x v="33"/>
    <x v="2"/>
    <x v="3"/>
  </r>
  <r>
    <x v="84"/>
    <s v="P2010"/>
    <n v="12"/>
    <x v="2"/>
    <x v="1"/>
    <n v="10"/>
    <n v="14.600000000000001"/>
    <n v="120"/>
    <n v="175.20000000000002"/>
    <x v="78"/>
    <x v="34"/>
    <x v="2"/>
    <x v="3"/>
  </r>
  <r>
    <x v="85"/>
    <s v="P3009"/>
    <n v="18"/>
    <x v="1"/>
    <x v="0"/>
    <n v="71"/>
    <n v="95.85"/>
    <n v="1278"/>
    <n v="1725.3"/>
    <x v="79"/>
    <x v="35"/>
    <x v="2"/>
    <x v="3"/>
  </r>
  <r>
    <x v="86"/>
    <s v="P3001"/>
    <n v="6"/>
    <x v="0"/>
    <x v="1"/>
    <n v="16"/>
    <n v="21.12"/>
    <n v="96"/>
    <n v="126.72"/>
    <x v="54"/>
    <x v="36"/>
    <x v="2"/>
    <x v="3"/>
  </r>
  <r>
    <x v="87"/>
    <s v="P4007"/>
    <n v="14"/>
    <x v="0"/>
    <x v="0"/>
    <n v="12"/>
    <n v="13.44"/>
    <n v="168"/>
    <n v="188.16"/>
    <x v="80"/>
    <x v="37"/>
    <x v="2"/>
    <x v="3"/>
  </r>
  <r>
    <x v="88"/>
    <s v="P2005"/>
    <n v="13"/>
    <x v="1"/>
    <x v="1"/>
    <n v="105"/>
    <n v="148.05000000000001"/>
    <n v="1365"/>
    <n v="1924.65"/>
    <x v="81"/>
    <x v="38"/>
    <x v="2"/>
    <x v="3"/>
  </r>
  <r>
    <x v="89"/>
    <s v="P3007"/>
    <n v="17"/>
    <x v="0"/>
    <x v="1"/>
    <n v="105"/>
    <n v="117.6"/>
    <n v="1785"/>
    <n v="1999.1999999999998"/>
    <x v="82"/>
    <x v="39"/>
    <x v="2"/>
    <x v="3"/>
  </r>
  <r>
    <x v="90"/>
    <s v="P3002"/>
    <n v="13"/>
    <x v="0"/>
    <x v="0"/>
    <n v="10"/>
    <n v="11.2"/>
    <n v="130"/>
    <n v="145.6"/>
    <x v="83"/>
    <x v="40"/>
    <x v="2"/>
    <x v="4"/>
  </r>
  <r>
    <x v="91"/>
    <s v="P4007"/>
    <n v="19"/>
    <x v="1"/>
    <x v="1"/>
    <n v="12"/>
    <n v="13.44"/>
    <n v="228"/>
    <n v="255.35999999999999"/>
    <x v="84"/>
    <x v="41"/>
    <x v="3"/>
    <x v="4"/>
  </r>
  <r>
    <x v="92"/>
    <s v="P2004"/>
    <n v="11"/>
    <x v="2"/>
    <x v="1"/>
    <n v="98"/>
    <n v="110.74"/>
    <n v="1078"/>
    <n v="1218.1399999999999"/>
    <x v="85"/>
    <x v="42"/>
    <x v="3"/>
    <x v="4"/>
  </r>
  <r>
    <x v="93"/>
    <s v="P3009"/>
    <n v="15"/>
    <x v="2"/>
    <x v="0"/>
    <n v="71"/>
    <n v="95.85"/>
    <n v="1065"/>
    <n v="1437.75"/>
    <x v="86"/>
    <x v="43"/>
    <x v="3"/>
    <x v="4"/>
  </r>
  <r>
    <x v="94"/>
    <s v="P2009"/>
    <n v="11"/>
    <x v="1"/>
    <x v="1"/>
    <n v="124"/>
    <n v="167.4"/>
    <n v="1364"/>
    <n v="1841.4"/>
    <x v="87"/>
    <x v="44"/>
    <x v="3"/>
    <x v="4"/>
  </r>
  <r>
    <x v="95"/>
    <s v="P1008"/>
    <n v="7"/>
    <x v="0"/>
    <x v="0"/>
    <n v="16"/>
    <n v="17.600000000000001"/>
    <n v="112"/>
    <n v="123.20000000000002"/>
    <x v="21"/>
    <x v="45"/>
    <x v="3"/>
    <x v="4"/>
  </r>
  <r>
    <x v="96"/>
    <s v="P4009"/>
    <n v="10"/>
    <x v="0"/>
    <x v="1"/>
    <n v="98"/>
    <n v="132.30000000000001"/>
    <n v="980"/>
    <n v="1323"/>
    <x v="57"/>
    <x v="46"/>
    <x v="3"/>
    <x v="4"/>
  </r>
  <r>
    <x v="97"/>
    <s v="P4003"/>
    <n v="7"/>
    <x v="1"/>
    <x v="0"/>
    <n v="16"/>
    <n v="18.240000000000002"/>
    <n v="112"/>
    <n v="127.68"/>
    <x v="88"/>
    <x v="47"/>
    <x v="3"/>
    <x v="4"/>
  </r>
  <r>
    <x v="98"/>
    <s v="P4004"/>
    <n v="4"/>
    <x v="0"/>
    <x v="1"/>
    <n v="10"/>
    <n v="11.3"/>
    <n v="40"/>
    <n v="45.2"/>
    <x v="89"/>
    <x v="48"/>
    <x v="3"/>
    <x v="4"/>
  </r>
  <r>
    <x v="99"/>
    <s v="P1010"/>
    <n v="6"/>
    <x v="0"/>
    <x v="1"/>
    <n v="123"/>
    <n v="179.58"/>
    <n v="738"/>
    <n v="1077.48"/>
    <x v="90"/>
    <x v="49"/>
    <x v="3"/>
    <x v="4"/>
  </r>
  <r>
    <x v="100"/>
    <s v="P1001"/>
    <n v="4"/>
    <x v="1"/>
    <x v="0"/>
    <n v="98"/>
    <n v="129.36000000000001"/>
    <n v="392"/>
    <n v="517.44000000000005"/>
    <x v="91"/>
    <x v="0"/>
    <x v="3"/>
    <x v="0"/>
  </r>
  <r>
    <x v="101"/>
    <s v="P5009"/>
    <n v="9"/>
    <x v="2"/>
    <x v="1"/>
    <n v="136"/>
    <n v="183.6"/>
    <n v="1224"/>
    <n v="1652.3999999999999"/>
    <x v="92"/>
    <x v="1"/>
    <x v="3"/>
    <x v="0"/>
  </r>
  <r>
    <x v="102"/>
    <s v="P1008"/>
    <n v="9"/>
    <x v="2"/>
    <x v="1"/>
    <n v="16"/>
    <n v="17.600000000000001"/>
    <n v="144"/>
    <n v="158.4"/>
    <x v="11"/>
    <x v="2"/>
    <x v="3"/>
    <x v="0"/>
  </r>
  <r>
    <x v="103"/>
    <s v="P3005"/>
    <n v="2"/>
    <x v="1"/>
    <x v="0"/>
    <n v="12"/>
    <n v="16.920000000000002"/>
    <n v="24"/>
    <n v="33.840000000000003"/>
    <x v="93"/>
    <x v="3"/>
    <x v="3"/>
    <x v="0"/>
  </r>
  <r>
    <x v="104"/>
    <s v="P3005"/>
    <n v="15"/>
    <x v="0"/>
    <x v="1"/>
    <n v="12"/>
    <n v="16.920000000000002"/>
    <n v="180"/>
    <n v="253.8"/>
    <x v="94"/>
    <x v="4"/>
    <x v="3"/>
    <x v="0"/>
  </r>
  <r>
    <x v="105"/>
    <s v="P2006"/>
    <n v="3"/>
    <x v="0"/>
    <x v="0"/>
    <n v="44"/>
    <n v="72.599999999999994"/>
    <n v="132"/>
    <n v="217.79999999999998"/>
    <x v="95"/>
    <x v="5"/>
    <x v="3"/>
    <x v="0"/>
  </r>
  <r>
    <x v="106"/>
    <s v="P2006"/>
    <n v="14"/>
    <x v="1"/>
    <x v="1"/>
    <n v="44"/>
    <n v="72.599999999999994"/>
    <n v="616"/>
    <n v="1016.3999999999999"/>
    <x v="96"/>
    <x v="6"/>
    <x v="3"/>
    <x v="0"/>
  </r>
  <r>
    <x v="107"/>
    <s v="P5009"/>
    <n v="3"/>
    <x v="0"/>
    <x v="0"/>
    <n v="136"/>
    <n v="183.6"/>
    <n v="408"/>
    <n v="550.79999999999995"/>
    <x v="97"/>
    <x v="7"/>
    <x v="3"/>
    <x v="0"/>
  </r>
  <r>
    <x v="108"/>
    <s v="P5010"/>
    <n v="19"/>
    <x v="0"/>
    <x v="1"/>
    <n v="12"/>
    <n v="17.52"/>
    <n v="228"/>
    <n v="332.88"/>
    <x v="98"/>
    <x v="8"/>
    <x v="3"/>
    <x v="0"/>
  </r>
  <r>
    <x v="109"/>
    <s v="P1005"/>
    <n v="2"/>
    <x v="1"/>
    <x v="1"/>
    <n v="133"/>
    <n v="187.53"/>
    <n v="266"/>
    <n v="375.06"/>
    <x v="99"/>
    <x v="9"/>
    <x v="3"/>
    <x v="0"/>
  </r>
  <r>
    <x v="110"/>
    <s v="P2001"/>
    <n v="8"/>
    <x v="2"/>
    <x v="0"/>
    <n v="136"/>
    <n v="179.52"/>
    <n v="1088"/>
    <n v="1436.16"/>
    <x v="100"/>
    <x v="10"/>
    <x v="3"/>
    <x v="1"/>
  </r>
  <r>
    <x v="111"/>
    <s v="P5008"/>
    <n v="10"/>
    <x v="2"/>
    <x v="1"/>
    <n v="123"/>
    <n v="135.30000000000001"/>
    <n v="1230"/>
    <n v="1353"/>
    <x v="101"/>
    <x v="11"/>
    <x v="3"/>
    <x v="1"/>
  </r>
  <r>
    <x v="112"/>
    <s v="P3008"/>
    <n v="12"/>
    <x v="1"/>
    <x v="1"/>
    <n v="44"/>
    <n v="48.4"/>
    <n v="528"/>
    <n v="580.79999999999995"/>
    <x v="102"/>
    <x v="12"/>
    <x v="3"/>
    <x v="1"/>
  </r>
  <r>
    <x v="113"/>
    <s v="P4001"/>
    <n v="13"/>
    <x v="0"/>
    <x v="0"/>
    <n v="124"/>
    <n v="163.68"/>
    <n v="1612"/>
    <n v="2127.84"/>
    <x v="103"/>
    <x v="13"/>
    <x v="3"/>
    <x v="1"/>
  </r>
  <r>
    <x v="114"/>
    <s v="P5002"/>
    <n v="12"/>
    <x v="0"/>
    <x v="1"/>
    <n v="71"/>
    <n v="79.52"/>
    <n v="852"/>
    <n v="954.24"/>
    <x v="104"/>
    <x v="14"/>
    <x v="3"/>
    <x v="1"/>
  </r>
  <r>
    <x v="115"/>
    <s v="P2010"/>
    <n v="18"/>
    <x v="1"/>
    <x v="0"/>
    <n v="10"/>
    <n v="14.600000000000001"/>
    <n v="180"/>
    <n v="262.8"/>
    <x v="37"/>
    <x v="15"/>
    <x v="3"/>
    <x v="1"/>
  </r>
  <r>
    <x v="116"/>
    <s v="P3009"/>
    <n v="13"/>
    <x v="0"/>
    <x v="1"/>
    <n v="71"/>
    <n v="95.85"/>
    <n v="923"/>
    <n v="1246.05"/>
    <x v="67"/>
    <x v="16"/>
    <x v="3"/>
    <x v="1"/>
  </r>
  <r>
    <x v="117"/>
    <s v="P2005"/>
    <n v="4"/>
    <x v="0"/>
    <x v="0"/>
    <n v="105"/>
    <n v="148.05000000000001"/>
    <n v="420"/>
    <n v="592.20000000000005"/>
    <x v="105"/>
    <x v="17"/>
    <x v="3"/>
    <x v="1"/>
  </r>
  <r>
    <x v="118"/>
    <s v="P5010"/>
    <n v="9"/>
    <x v="1"/>
    <x v="1"/>
    <n v="12"/>
    <n v="17.52"/>
    <n v="108"/>
    <n v="157.68"/>
    <x v="106"/>
    <x v="18"/>
    <x v="3"/>
    <x v="1"/>
  </r>
  <r>
    <x v="119"/>
    <s v="P1002"/>
    <n v="1"/>
    <x v="2"/>
    <x v="1"/>
    <n v="105"/>
    <n v="117.6"/>
    <n v="105"/>
    <n v="117.6"/>
    <x v="107"/>
    <x v="19"/>
    <x v="3"/>
    <x v="1"/>
  </r>
  <r>
    <x v="120"/>
    <s v="P3010"/>
    <n v="3"/>
    <x v="2"/>
    <x v="0"/>
    <n v="133"/>
    <n v="194.18"/>
    <n v="399"/>
    <n v="582.54"/>
    <x v="108"/>
    <x v="20"/>
    <x v="3"/>
    <x v="2"/>
  </r>
  <r>
    <x v="121"/>
    <s v="P5004"/>
    <n v="19"/>
    <x v="1"/>
    <x v="1"/>
    <n v="124"/>
    <n v="140.12"/>
    <n v="2356"/>
    <n v="2662.28"/>
    <x v="109"/>
    <x v="21"/>
    <x v="4"/>
    <x v="2"/>
  </r>
  <r>
    <x v="122"/>
    <s v="P3004"/>
    <n v="6"/>
    <x v="0"/>
    <x v="1"/>
    <n v="136"/>
    <n v="153.68"/>
    <n v="816"/>
    <n v="922.08"/>
    <x v="110"/>
    <x v="22"/>
    <x v="4"/>
    <x v="2"/>
  </r>
  <r>
    <x v="123"/>
    <s v="P2001"/>
    <n v="2"/>
    <x v="0"/>
    <x v="0"/>
    <n v="136"/>
    <n v="179.52"/>
    <n v="272"/>
    <n v="359.04"/>
    <x v="111"/>
    <x v="23"/>
    <x v="4"/>
    <x v="2"/>
  </r>
  <r>
    <x v="124"/>
    <s v="P2006"/>
    <n v="14"/>
    <x v="1"/>
    <x v="1"/>
    <n v="44"/>
    <n v="72.599999999999994"/>
    <n v="616"/>
    <n v="1016.3999999999999"/>
    <x v="96"/>
    <x v="24"/>
    <x v="4"/>
    <x v="2"/>
  </r>
  <r>
    <x v="125"/>
    <s v="P4008"/>
    <n v="13"/>
    <x v="0"/>
    <x v="0"/>
    <n v="63"/>
    <n v="69.3"/>
    <n v="819"/>
    <n v="900.9"/>
    <x v="112"/>
    <x v="25"/>
    <x v="4"/>
    <x v="2"/>
  </r>
  <r>
    <x v="126"/>
    <s v="P1009"/>
    <n v="8"/>
    <x v="0"/>
    <x v="1"/>
    <n v="10"/>
    <n v="13.5"/>
    <n v="80"/>
    <n v="108"/>
    <x v="113"/>
    <x v="26"/>
    <x v="4"/>
    <x v="2"/>
  </r>
  <r>
    <x v="127"/>
    <s v="P3008"/>
    <n v="20"/>
    <x v="1"/>
    <x v="0"/>
    <n v="44"/>
    <n v="48.4"/>
    <n v="880"/>
    <n v="968"/>
    <x v="114"/>
    <x v="27"/>
    <x v="4"/>
    <x v="2"/>
  </r>
  <r>
    <x v="128"/>
    <s v="P3005"/>
    <n v="18"/>
    <x v="2"/>
    <x v="1"/>
    <n v="12"/>
    <n v="16.920000000000002"/>
    <n v="216"/>
    <n v="304.56000000000006"/>
    <x v="115"/>
    <x v="28"/>
    <x v="4"/>
    <x v="2"/>
  </r>
  <r>
    <x v="129"/>
    <s v="P1001"/>
    <n v="13"/>
    <x v="2"/>
    <x v="1"/>
    <n v="98"/>
    <n v="129.36000000000001"/>
    <n v="1274"/>
    <n v="1681.6800000000003"/>
    <x v="63"/>
    <x v="29"/>
    <x v="4"/>
    <x v="2"/>
  </r>
  <r>
    <x v="130"/>
    <s v="P5003"/>
    <n v="20"/>
    <x v="1"/>
    <x v="0"/>
    <n v="133"/>
    <n v="151.62"/>
    <n v="2660"/>
    <n v="3032.4"/>
    <x v="116"/>
    <x v="30"/>
    <x v="4"/>
    <x v="3"/>
  </r>
  <r>
    <x v="131"/>
    <s v="P5002"/>
    <n v="8"/>
    <x v="0"/>
    <x v="1"/>
    <n v="71"/>
    <n v="79.52"/>
    <n v="568"/>
    <n v="636.16"/>
    <x v="117"/>
    <x v="31"/>
    <x v="4"/>
    <x v="3"/>
  </r>
  <r>
    <x v="132"/>
    <s v="P5008"/>
    <n v="1"/>
    <x v="0"/>
    <x v="1"/>
    <n v="123"/>
    <n v="135.30000000000001"/>
    <n v="123"/>
    <n v="135.30000000000001"/>
    <x v="55"/>
    <x v="32"/>
    <x v="4"/>
    <x v="3"/>
  </r>
  <r>
    <x v="133"/>
    <s v="P3005"/>
    <n v="13"/>
    <x v="1"/>
    <x v="0"/>
    <n v="12"/>
    <n v="16.920000000000002"/>
    <n v="156"/>
    <n v="219.96000000000004"/>
    <x v="118"/>
    <x v="33"/>
    <x v="4"/>
    <x v="3"/>
  </r>
  <r>
    <x v="134"/>
    <s v="P4009"/>
    <n v="17"/>
    <x v="0"/>
    <x v="1"/>
    <n v="98"/>
    <n v="132.30000000000001"/>
    <n v="1666"/>
    <n v="2249.1000000000004"/>
    <x v="119"/>
    <x v="34"/>
    <x v="4"/>
    <x v="3"/>
  </r>
  <r>
    <x v="135"/>
    <s v="P2008"/>
    <n v="6"/>
    <x v="0"/>
    <x v="0"/>
    <n v="133"/>
    <n v="146.30000000000001"/>
    <n v="798"/>
    <n v="877.80000000000007"/>
    <x v="120"/>
    <x v="35"/>
    <x v="4"/>
    <x v="3"/>
  </r>
  <r>
    <x v="136"/>
    <s v="P1004"/>
    <n v="2"/>
    <x v="1"/>
    <x v="1"/>
    <n v="71"/>
    <n v="80.23"/>
    <n v="142"/>
    <n v="160.46"/>
    <x v="121"/>
    <x v="36"/>
    <x v="4"/>
    <x v="3"/>
  </r>
  <r>
    <x v="137"/>
    <s v="P5008"/>
    <n v="9"/>
    <x v="2"/>
    <x v="0"/>
    <n v="123"/>
    <n v="135.30000000000001"/>
    <n v="1107"/>
    <n v="1217.7"/>
    <x v="122"/>
    <x v="37"/>
    <x v="4"/>
    <x v="3"/>
  </r>
  <r>
    <x v="138"/>
    <s v="P5008"/>
    <n v="11"/>
    <x v="2"/>
    <x v="1"/>
    <n v="123"/>
    <n v="135.30000000000001"/>
    <n v="1353"/>
    <n v="1488.3000000000002"/>
    <x v="123"/>
    <x v="38"/>
    <x v="4"/>
    <x v="3"/>
  </r>
  <r>
    <x v="139"/>
    <s v="P2002"/>
    <n v="7"/>
    <x v="1"/>
    <x v="1"/>
    <n v="12"/>
    <n v="13.44"/>
    <n v="84"/>
    <n v="94.08"/>
    <x v="124"/>
    <x v="39"/>
    <x v="4"/>
    <x v="3"/>
  </r>
  <r>
    <x v="140"/>
    <s v="P3007"/>
    <n v="6"/>
    <x v="0"/>
    <x v="0"/>
    <n v="105"/>
    <n v="117.6"/>
    <n v="630"/>
    <n v="705.59999999999991"/>
    <x v="27"/>
    <x v="40"/>
    <x v="4"/>
    <x v="4"/>
  </r>
  <r>
    <x v="141"/>
    <s v="P3002"/>
    <n v="20"/>
    <x v="0"/>
    <x v="1"/>
    <n v="10"/>
    <n v="11.2"/>
    <n v="200"/>
    <n v="224"/>
    <x v="125"/>
    <x v="41"/>
    <x v="4"/>
    <x v="4"/>
  </r>
  <r>
    <x v="142"/>
    <s v="P5004"/>
    <n v="13"/>
    <x v="1"/>
    <x v="1"/>
    <n v="124"/>
    <n v="140.12"/>
    <n v="1612"/>
    <n v="1821.56"/>
    <x v="126"/>
    <x v="42"/>
    <x v="4"/>
    <x v="4"/>
  </r>
  <r>
    <x v="143"/>
    <s v="P5007"/>
    <n v="1"/>
    <x v="0"/>
    <x v="0"/>
    <n v="10"/>
    <n v="11.2"/>
    <n v="10"/>
    <n v="11.2"/>
    <x v="127"/>
    <x v="43"/>
    <x v="4"/>
    <x v="4"/>
  </r>
  <r>
    <x v="144"/>
    <s v="P1004"/>
    <n v="8"/>
    <x v="0"/>
    <x v="1"/>
    <n v="71"/>
    <n v="80.23"/>
    <n v="568"/>
    <n v="641.84"/>
    <x v="128"/>
    <x v="44"/>
    <x v="4"/>
    <x v="4"/>
  </r>
  <r>
    <x v="145"/>
    <s v="P4006"/>
    <n v="7"/>
    <x v="1"/>
    <x v="0"/>
    <n v="136"/>
    <n v="224.4"/>
    <n v="952"/>
    <n v="1570.8"/>
    <x v="129"/>
    <x v="45"/>
    <x v="4"/>
    <x v="4"/>
  </r>
  <r>
    <x v="146"/>
    <s v="P5001"/>
    <n v="15"/>
    <x v="2"/>
    <x v="1"/>
    <n v="44"/>
    <n v="58.08"/>
    <n v="660"/>
    <n v="871.19999999999993"/>
    <x v="130"/>
    <x v="46"/>
    <x v="4"/>
    <x v="4"/>
  </r>
  <r>
    <x v="147"/>
    <s v="P2008"/>
    <n v="20"/>
    <x v="2"/>
    <x v="0"/>
    <n v="133"/>
    <n v="146.30000000000001"/>
    <n v="2660"/>
    <n v="2926"/>
    <x v="23"/>
    <x v="47"/>
    <x v="4"/>
    <x v="4"/>
  </r>
  <r>
    <x v="148"/>
    <s v="P3007"/>
    <n v="6"/>
    <x v="1"/>
    <x v="1"/>
    <n v="105"/>
    <n v="117.6"/>
    <n v="630"/>
    <n v="705.59999999999991"/>
    <x v="27"/>
    <x v="48"/>
    <x v="4"/>
    <x v="4"/>
  </r>
  <r>
    <x v="149"/>
    <s v="P3004"/>
    <n v="10"/>
    <x v="0"/>
    <x v="1"/>
    <n v="136"/>
    <n v="153.68"/>
    <n v="1360"/>
    <n v="1536.8000000000002"/>
    <x v="0"/>
    <x v="49"/>
    <x v="4"/>
    <x v="4"/>
  </r>
  <r>
    <x v="150"/>
    <s v="P2003"/>
    <n v="19"/>
    <x v="0"/>
    <x v="0"/>
    <n v="63"/>
    <n v="71.819999999999993"/>
    <n v="1197"/>
    <n v="1364.58"/>
    <x v="131"/>
    <x v="0"/>
    <x v="4"/>
    <x v="0"/>
  </r>
  <r>
    <x v="151"/>
    <s v="P5007"/>
    <n v="1"/>
    <x v="1"/>
    <x v="1"/>
    <n v="10"/>
    <n v="11.2"/>
    <n v="10"/>
    <n v="11.2"/>
    <x v="127"/>
    <x v="1"/>
    <x v="4"/>
    <x v="0"/>
  </r>
  <r>
    <x v="152"/>
    <s v="P1004"/>
    <n v="4"/>
    <x v="0"/>
    <x v="1"/>
    <n v="71"/>
    <n v="80.23"/>
    <n v="284"/>
    <n v="320.92"/>
    <x v="132"/>
    <x v="2"/>
    <x v="5"/>
    <x v="0"/>
  </r>
  <r>
    <x v="153"/>
    <s v="P5008"/>
    <n v="17"/>
    <x v="0"/>
    <x v="0"/>
    <n v="123"/>
    <n v="135.30000000000001"/>
    <n v="2091"/>
    <n v="2300.1000000000004"/>
    <x v="133"/>
    <x v="3"/>
    <x v="5"/>
    <x v="0"/>
  </r>
  <r>
    <x v="154"/>
    <s v="P2007"/>
    <n v="7"/>
    <x v="1"/>
    <x v="1"/>
    <n v="71"/>
    <n v="79.52"/>
    <n v="497"/>
    <n v="556.64"/>
    <x v="134"/>
    <x v="4"/>
    <x v="5"/>
    <x v="0"/>
  </r>
  <r>
    <x v="155"/>
    <s v="P5001"/>
    <n v="18"/>
    <x v="2"/>
    <x v="0"/>
    <n v="44"/>
    <n v="58.08"/>
    <n v="792"/>
    <n v="1045.44"/>
    <x v="4"/>
    <x v="5"/>
    <x v="5"/>
    <x v="0"/>
  </r>
  <r>
    <x v="156"/>
    <s v="P1010"/>
    <n v="6"/>
    <x v="2"/>
    <x v="1"/>
    <n v="123"/>
    <n v="179.58"/>
    <n v="738"/>
    <n v="1077.48"/>
    <x v="90"/>
    <x v="6"/>
    <x v="5"/>
    <x v="0"/>
  </r>
  <r>
    <x v="157"/>
    <s v="P2001"/>
    <n v="11"/>
    <x v="1"/>
    <x v="0"/>
    <n v="136"/>
    <n v="179.52"/>
    <n v="1496"/>
    <n v="1974.72"/>
    <x v="135"/>
    <x v="7"/>
    <x v="5"/>
    <x v="0"/>
  </r>
  <r>
    <x v="158"/>
    <s v="P4003"/>
    <n v="9"/>
    <x v="0"/>
    <x v="1"/>
    <n v="16"/>
    <n v="18.240000000000002"/>
    <n v="144"/>
    <n v="164.16000000000003"/>
    <x v="136"/>
    <x v="8"/>
    <x v="5"/>
    <x v="0"/>
  </r>
  <r>
    <x v="159"/>
    <s v="P1001"/>
    <n v="9"/>
    <x v="0"/>
    <x v="1"/>
    <n v="98"/>
    <n v="129.36000000000001"/>
    <n v="882"/>
    <n v="1164.2400000000002"/>
    <x v="137"/>
    <x v="9"/>
    <x v="5"/>
    <x v="0"/>
  </r>
  <r>
    <x v="160"/>
    <s v="P3006"/>
    <n v="11"/>
    <x v="1"/>
    <x v="0"/>
    <n v="98"/>
    <n v="161.69999999999999"/>
    <n v="1078"/>
    <n v="1778.6999999999998"/>
    <x v="138"/>
    <x v="10"/>
    <x v="5"/>
    <x v="1"/>
  </r>
  <r>
    <x v="161"/>
    <s v="P1004"/>
    <n v="15"/>
    <x v="0"/>
    <x v="1"/>
    <n v="71"/>
    <n v="80.23"/>
    <n v="1065"/>
    <n v="1203.45"/>
    <x v="139"/>
    <x v="11"/>
    <x v="5"/>
    <x v="1"/>
  </r>
  <r>
    <x v="162"/>
    <s v="P4002"/>
    <n v="5"/>
    <x v="0"/>
    <x v="1"/>
    <n v="10"/>
    <n v="11.2"/>
    <n v="50"/>
    <n v="56"/>
    <x v="140"/>
    <x v="12"/>
    <x v="5"/>
    <x v="1"/>
  </r>
  <r>
    <x v="163"/>
    <s v="P1006"/>
    <n v="14"/>
    <x v="1"/>
    <x v="0"/>
    <n v="124"/>
    <n v="204.60000000000002"/>
    <n v="1736"/>
    <n v="2864.4000000000005"/>
    <x v="141"/>
    <x v="13"/>
    <x v="5"/>
    <x v="1"/>
  </r>
  <r>
    <x v="164"/>
    <s v="P2009"/>
    <n v="1"/>
    <x v="2"/>
    <x v="1"/>
    <n v="124"/>
    <n v="167.4"/>
    <n v="124"/>
    <n v="167.4"/>
    <x v="142"/>
    <x v="14"/>
    <x v="5"/>
    <x v="1"/>
  </r>
  <r>
    <x v="165"/>
    <s v="P1004"/>
    <n v="6"/>
    <x v="2"/>
    <x v="0"/>
    <n v="71"/>
    <n v="80.23"/>
    <n v="426"/>
    <n v="481.38"/>
    <x v="143"/>
    <x v="15"/>
    <x v="5"/>
    <x v="1"/>
  </r>
  <r>
    <x v="166"/>
    <s v="P4002"/>
    <n v="9"/>
    <x v="1"/>
    <x v="1"/>
    <n v="10"/>
    <n v="11.2"/>
    <n v="90"/>
    <n v="100.8"/>
    <x v="144"/>
    <x v="16"/>
    <x v="5"/>
    <x v="1"/>
  </r>
  <r>
    <x v="167"/>
    <s v="P1010"/>
    <n v="20"/>
    <x v="0"/>
    <x v="0"/>
    <n v="123"/>
    <n v="179.58"/>
    <n v="2460"/>
    <n v="3591.6000000000004"/>
    <x v="145"/>
    <x v="17"/>
    <x v="5"/>
    <x v="1"/>
  </r>
  <r>
    <x v="168"/>
    <s v="P4010"/>
    <n v="13"/>
    <x v="0"/>
    <x v="1"/>
    <n v="105"/>
    <n v="153.30000000000001"/>
    <n v="1365"/>
    <n v="1992.9"/>
    <x v="146"/>
    <x v="18"/>
    <x v="5"/>
    <x v="1"/>
  </r>
  <r>
    <x v="169"/>
    <s v="P3002"/>
    <n v="7"/>
    <x v="1"/>
    <x v="1"/>
    <n v="10"/>
    <n v="11.2"/>
    <n v="70"/>
    <n v="78.399999999999991"/>
    <x v="147"/>
    <x v="19"/>
    <x v="5"/>
    <x v="1"/>
  </r>
  <r>
    <x v="170"/>
    <s v="P2006"/>
    <n v="14"/>
    <x v="0"/>
    <x v="0"/>
    <n v="44"/>
    <n v="72.599999999999994"/>
    <n v="616"/>
    <n v="1016.3999999999999"/>
    <x v="96"/>
    <x v="20"/>
    <x v="5"/>
    <x v="2"/>
  </r>
  <r>
    <x v="171"/>
    <s v="P3006"/>
    <n v="6"/>
    <x v="0"/>
    <x v="1"/>
    <n v="98"/>
    <n v="161.69999999999999"/>
    <n v="588"/>
    <n v="970.19999999999993"/>
    <x v="148"/>
    <x v="21"/>
    <x v="5"/>
    <x v="2"/>
  </r>
  <r>
    <x v="172"/>
    <s v="P3004"/>
    <n v="6"/>
    <x v="1"/>
    <x v="1"/>
    <n v="136"/>
    <n v="153.68"/>
    <n v="816"/>
    <n v="922.08"/>
    <x v="110"/>
    <x v="22"/>
    <x v="5"/>
    <x v="2"/>
  </r>
  <r>
    <x v="173"/>
    <s v="P1007"/>
    <n v="5"/>
    <x v="2"/>
    <x v="0"/>
    <n v="10"/>
    <n v="11.2"/>
    <n v="50"/>
    <n v="56"/>
    <x v="140"/>
    <x v="23"/>
    <x v="5"/>
    <x v="2"/>
  </r>
  <r>
    <x v="174"/>
    <s v="P3002"/>
    <n v="18"/>
    <x v="2"/>
    <x v="1"/>
    <n v="10"/>
    <n v="11.2"/>
    <n v="180"/>
    <n v="201.6"/>
    <x v="149"/>
    <x v="24"/>
    <x v="5"/>
    <x v="2"/>
  </r>
  <r>
    <x v="175"/>
    <s v="P5007"/>
    <n v="13"/>
    <x v="1"/>
    <x v="0"/>
    <n v="10"/>
    <n v="11.2"/>
    <n v="130"/>
    <n v="145.6"/>
    <x v="83"/>
    <x v="25"/>
    <x v="5"/>
    <x v="2"/>
  </r>
  <r>
    <x v="176"/>
    <s v="P2004"/>
    <n v="1"/>
    <x v="0"/>
    <x v="1"/>
    <n v="98"/>
    <n v="110.74"/>
    <n v="98"/>
    <n v="110.74"/>
    <x v="150"/>
    <x v="26"/>
    <x v="5"/>
    <x v="2"/>
  </r>
  <r>
    <x v="177"/>
    <s v="P1007"/>
    <n v="6"/>
    <x v="0"/>
    <x v="0"/>
    <n v="10"/>
    <n v="11.2"/>
    <n v="60"/>
    <n v="67.199999999999989"/>
    <x v="151"/>
    <x v="27"/>
    <x v="5"/>
    <x v="2"/>
  </r>
  <r>
    <x v="178"/>
    <s v="P1006"/>
    <n v="9"/>
    <x v="1"/>
    <x v="1"/>
    <n v="124"/>
    <n v="204.60000000000002"/>
    <n v="1116"/>
    <n v="1841.4"/>
    <x v="152"/>
    <x v="28"/>
    <x v="5"/>
    <x v="2"/>
  </r>
  <r>
    <x v="179"/>
    <s v="P1006"/>
    <n v="17"/>
    <x v="0"/>
    <x v="1"/>
    <n v="124"/>
    <n v="204.60000000000002"/>
    <n v="2108"/>
    <n v="3478.2000000000003"/>
    <x v="153"/>
    <x v="29"/>
    <x v="5"/>
    <x v="2"/>
  </r>
  <r>
    <x v="180"/>
    <s v="P2009"/>
    <n v="11"/>
    <x v="0"/>
    <x v="0"/>
    <n v="124"/>
    <n v="167.4"/>
    <n v="1364"/>
    <n v="1841.4"/>
    <x v="87"/>
    <x v="30"/>
    <x v="5"/>
    <x v="3"/>
  </r>
  <r>
    <x v="181"/>
    <s v="P4001"/>
    <n v="11"/>
    <x v="1"/>
    <x v="1"/>
    <n v="124"/>
    <n v="163.68"/>
    <n v="1364"/>
    <n v="1800.48"/>
    <x v="154"/>
    <x v="31"/>
    <x v="5"/>
    <x v="3"/>
  </r>
  <r>
    <x v="182"/>
    <s v="P1001"/>
    <n v="14"/>
    <x v="2"/>
    <x v="1"/>
    <n v="98"/>
    <n v="129.36000000000001"/>
    <n v="1372"/>
    <n v="1811.0400000000002"/>
    <x v="155"/>
    <x v="32"/>
    <x v="6"/>
    <x v="3"/>
  </r>
  <r>
    <x v="183"/>
    <s v="P5003"/>
    <n v="1"/>
    <x v="2"/>
    <x v="0"/>
    <n v="133"/>
    <n v="151.62"/>
    <n v="133"/>
    <n v="151.62"/>
    <x v="156"/>
    <x v="33"/>
    <x v="6"/>
    <x v="3"/>
  </r>
  <r>
    <x v="184"/>
    <s v="P5004"/>
    <n v="17"/>
    <x v="1"/>
    <x v="1"/>
    <n v="124"/>
    <n v="140.12"/>
    <n v="2108"/>
    <n v="2382.04"/>
    <x v="157"/>
    <x v="34"/>
    <x v="6"/>
    <x v="3"/>
  </r>
  <r>
    <x v="185"/>
    <s v="P5005"/>
    <n v="20"/>
    <x v="0"/>
    <x v="0"/>
    <n v="10"/>
    <n v="14.100000000000001"/>
    <n v="200"/>
    <n v="282"/>
    <x v="158"/>
    <x v="35"/>
    <x v="6"/>
    <x v="3"/>
  </r>
  <r>
    <x v="186"/>
    <s v="P2002"/>
    <n v="18"/>
    <x v="0"/>
    <x v="1"/>
    <n v="12"/>
    <n v="13.44"/>
    <n v="216"/>
    <n v="241.92"/>
    <x v="159"/>
    <x v="36"/>
    <x v="6"/>
    <x v="3"/>
  </r>
  <r>
    <x v="187"/>
    <s v="P1002"/>
    <n v="16"/>
    <x v="1"/>
    <x v="0"/>
    <n v="105"/>
    <n v="117.6"/>
    <n v="1680"/>
    <n v="1881.6"/>
    <x v="160"/>
    <x v="37"/>
    <x v="6"/>
    <x v="3"/>
  </r>
  <r>
    <x v="188"/>
    <s v="P1006"/>
    <n v="5"/>
    <x v="0"/>
    <x v="1"/>
    <n v="124"/>
    <n v="204.60000000000002"/>
    <n v="620"/>
    <n v="1023.0000000000001"/>
    <x v="161"/>
    <x v="38"/>
    <x v="6"/>
    <x v="3"/>
  </r>
  <r>
    <x v="189"/>
    <s v="P2004"/>
    <n v="19"/>
    <x v="0"/>
    <x v="1"/>
    <n v="98"/>
    <n v="110.74"/>
    <n v="1862"/>
    <n v="2104.06"/>
    <x v="162"/>
    <x v="39"/>
    <x v="6"/>
    <x v="3"/>
  </r>
  <r>
    <x v="190"/>
    <s v="P3010"/>
    <n v="15"/>
    <x v="1"/>
    <x v="0"/>
    <n v="133"/>
    <n v="194.18"/>
    <n v="1995"/>
    <n v="2912.7000000000003"/>
    <x v="163"/>
    <x v="40"/>
    <x v="6"/>
    <x v="4"/>
  </r>
  <r>
    <x v="191"/>
    <s v="P3009"/>
    <n v="12"/>
    <x v="2"/>
    <x v="1"/>
    <n v="71"/>
    <n v="95.85"/>
    <n v="852"/>
    <n v="1150.1999999999998"/>
    <x v="164"/>
    <x v="41"/>
    <x v="6"/>
    <x v="4"/>
  </r>
  <r>
    <x v="192"/>
    <s v="P2007"/>
    <n v="17"/>
    <x v="2"/>
    <x v="1"/>
    <n v="71"/>
    <n v="79.52"/>
    <n v="1207"/>
    <n v="1351.84"/>
    <x v="165"/>
    <x v="42"/>
    <x v="6"/>
    <x v="4"/>
  </r>
  <r>
    <x v="193"/>
    <s v="P2003"/>
    <n v="13"/>
    <x v="1"/>
    <x v="0"/>
    <n v="63"/>
    <n v="71.819999999999993"/>
    <n v="819"/>
    <n v="933.65999999999985"/>
    <x v="166"/>
    <x v="43"/>
    <x v="6"/>
    <x v="4"/>
  </r>
  <r>
    <x v="194"/>
    <s v="P4003"/>
    <n v="13"/>
    <x v="0"/>
    <x v="1"/>
    <n v="16"/>
    <n v="18.240000000000002"/>
    <n v="208"/>
    <n v="237.12000000000003"/>
    <x v="167"/>
    <x v="44"/>
    <x v="6"/>
    <x v="4"/>
  </r>
  <r>
    <x v="195"/>
    <s v="P4001"/>
    <n v="18"/>
    <x v="0"/>
    <x v="0"/>
    <n v="124"/>
    <n v="163.68"/>
    <n v="2232"/>
    <n v="2946.2400000000002"/>
    <x v="168"/>
    <x v="45"/>
    <x v="6"/>
    <x v="4"/>
  </r>
  <r>
    <x v="196"/>
    <s v="P1007"/>
    <n v="5"/>
    <x v="1"/>
    <x v="1"/>
    <n v="10"/>
    <n v="11.2"/>
    <n v="50"/>
    <n v="56"/>
    <x v="140"/>
    <x v="46"/>
    <x v="6"/>
    <x v="4"/>
  </r>
  <r>
    <x v="197"/>
    <s v="P2009"/>
    <n v="10"/>
    <x v="0"/>
    <x v="0"/>
    <n v="124"/>
    <n v="167.4"/>
    <n v="1240"/>
    <n v="1674"/>
    <x v="169"/>
    <x v="47"/>
    <x v="6"/>
    <x v="4"/>
  </r>
  <r>
    <x v="198"/>
    <s v="P3005"/>
    <n v="17"/>
    <x v="0"/>
    <x v="1"/>
    <n v="12"/>
    <n v="16.920000000000002"/>
    <n v="204"/>
    <n v="287.64000000000004"/>
    <x v="170"/>
    <x v="48"/>
    <x v="6"/>
    <x v="4"/>
  </r>
  <r>
    <x v="199"/>
    <s v="P2006"/>
    <n v="5"/>
    <x v="1"/>
    <x v="1"/>
    <n v="44"/>
    <n v="72.599999999999994"/>
    <n v="220"/>
    <n v="363"/>
    <x v="171"/>
    <x v="49"/>
    <x v="6"/>
    <x v="4"/>
  </r>
  <r>
    <x v="200"/>
    <s v="P5010"/>
    <n v="13"/>
    <x v="2"/>
    <x v="0"/>
    <n v="12"/>
    <n v="17.52"/>
    <n v="156"/>
    <n v="227.76"/>
    <x v="172"/>
    <x v="0"/>
    <x v="6"/>
    <x v="0"/>
  </r>
  <r>
    <x v="201"/>
    <s v="P1002"/>
    <n v="17"/>
    <x v="2"/>
    <x v="1"/>
    <n v="105"/>
    <n v="117.6"/>
    <n v="1785"/>
    <n v="1999.1999999999998"/>
    <x v="82"/>
    <x v="1"/>
    <x v="6"/>
    <x v="0"/>
  </r>
  <r>
    <x v="202"/>
    <s v="P2006"/>
    <n v="20"/>
    <x v="1"/>
    <x v="1"/>
    <n v="44"/>
    <n v="72.599999999999994"/>
    <n v="880"/>
    <n v="1452"/>
    <x v="173"/>
    <x v="2"/>
    <x v="6"/>
    <x v="0"/>
  </r>
  <r>
    <x v="203"/>
    <s v="P3002"/>
    <n v="12"/>
    <x v="0"/>
    <x v="0"/>
    <n v="10"/>
    <n v="11.2"/>
    <n v="120"/>
    <n v="134.39999999999998"/>
    <x v="174"/>
    <x v="3"/>
    <x v="6"/>
    <x v="0"/>
  </r>
  <r>
    <x v="204"/>
    <s v="P2009"/>
    <n v="12"/>
    <x v="0"/>
    <x v="1"/>
    <n v="124"/>
    <n v="167.4"/>
    <n v="1488"/>
    <n v="2008.8000000000002"/>
    <x v="175"/>
    <x v="4"/>
    <x v="6"/>
    <x v="0"/>
  </r>
  <r>
    <x v="205"/>
    <s v="P2006"/>
    <n v="12"/>
    <x v="1"/>
    <x v="0"/>
    <n v="44"/>
    <n v="72.599999999999994"/>
    <n v="528"/>
    <n v="871.19999999999993"/>
    <x v="176"/>
    <x v="5"/>
    <x v="6"/>
    <x v="0"/>
  </r>
  <r>
    <x v="206"/>
    <s v="P3006"/>
    <n v="14"/>
    <x v="0"/>
    <x v="1"/>
    <n v="98"/>
    <n v="161.69999999999999"/>
    <n v="1372"/>
    <n v="2263.7999999999997"/>
    <x v="177"/>
    <x v="6"/>
    <x v="6"/>
    <x v="0"/>
  </r>
  <r>
    <x v="207"/>
    <s v="P1008"/>
    <n v="10"/>
    <x v="0"/>
    <x v="0"/>
    <n v="16"/>
    <n v="17.600000000000001"/>
    <n v="160"/>
    <n v="176"/>
    <x v="178"/>
    <x v="7"/>
    <x v="6"/>
    <x v="0"/>
  </r>
  <r>
    <x v="208"/>
    <s v="P5005"/>
    <n v="9"/>
    <x v="1"/>
    <x v="1"/>
    <n v="10"/>
    <n v="14.100000000000001"/>
    <n v="90"/>
    <n v="126.9"/>
    <x v="179"/>
    <x v="8"/>
    <x v="6"/>
    <x v="0"/>
  </r>
  <r>
    <x v="209"/>
    <s v="P2002"/>
    <n v="9"/>
    <x v="2"/>
    <x v="1"/>
    <n v="12"/>
    <n v="13.44"/>
    <n v="108"/>
    <n v="120.96"/>
    <x v="180"/>
    <x v="9"/>
    <x v="6"/>
    <x v="0"/>
  </r>
  <r>
    <x v="210"/>
    <s v="P5008"/>
    <n v="1"/>
    <x v="2"/>
    <x v="0"/>
    <n v="123"/>
    <n v="135.30000000000001"/>
    <n v="123"/>
    <n v="135.30000000000001"/>
    <x v="55"/>
    <x v="10"/>
    <x v="6"/>
    <x v="1"/>
  </r>
  <r>
    <x v="211"/>
    <s v="P3010"/>
    <n v="4"/>
    <x v="1"/>
    <x v="1"/>
    <n v="133"/>
    <n v="194.18"/>
    <n v="532"/>
    <n v="776.72"/>
    <x v="181"/>
    <x v="11"/>
    <x v="6"/>
    <x v="1"/>
  </r>
  <r>
    <x v="212"/>
    <s v="P1003"/>
    <n v="13"/>
    <x v="0"/>
    <x v="1"/>
    <n v="44"/>
    <n v="50.16"/>
    <n v="572"/>
    <n v="652.07999999999993"/>
    <x v="182"/>
    <x v="12"/>
    <x v="6"/>
    <x v="1"/>
  </r>
  <r>
    <x v="213"/>
    <s v="P5002"/>
    <n v="7"/>
    <x v="0"/>
    <x v="0"/>
    <n v="71"/>
    <n v="79.52"/>
    <n v="497"/>
    <n v="556.64"/>
    <x v="134"/>
    <x v="13"/>
    <x v="7"/>
    <x v="1"/>
  </r>
  <r>
    <x v="214"/>
    <s v="P3004"/>
    <n v="6"/>
    <x v="1"/>
    <x v="1"/>
    <n v="136"/>
    <n v="153.68"/>
    <n v="816"/>
    <n v="922.08"/>
    <x v="110"/>
    <x v="14"/>
    <x v="7"/>
    <x v="1"/>
  </r>
  <r>
    <x v="215"/>
    <s v="P4010"/>
    <n v="14"/>
    <x v="0"/>
    <x v="0"/>
    <n v="105"/>
    <n v="153.30000000000001"/>
    <n v="1470"/>
    <n v="2146.2000000000003"/>
    <x v="183"/>
    <x v="15"/>
    <x v="7"/>
    <x v="1"/>
  </r>
  <r>
    <x v="216"/>
    <s v="P2002"/>
    <n v="9"/>
    <x v="0"/>
    <x v="1"/>
    <n v="12"/>
    <n v="13.44"/>
    <n v="108"/>
    <n v="120.96"/>
    <x v="180"/>
    <x v="16"/>
    <x v="7"/>
    <x v="1"/>
  </r>
  <r>
    <x v="217"/>
    <s v="P1007"/>
    <n v="10"/>
    <x v="1"/>
    <x v="0"/>
    <n v="10"/>
    <n v="11.2"/>
    <n v="100"/>
    <n v="112"/>
    <x v="5"/>
    <x v="17"/>
    <x v="7"/>
    <x v="1"/>
  </r>
  <r>
    <x v="218"/>
    <s v="P2001"/>
    <n v="8"/>
    <x v="2"/>
    <x v="1"/>
    <n v="136"/>
    <n v="179.52"/>
    <n v="1088"/>
    <n v="1436.16"/>
    <x v="100"/>
    <x v="18"/>
    <x v="7"/>
    <x v="1"/>
  </r>
  <r>
    <x v="219"/>
    <s v="P3002"/>
    <n v="20"/>
    <x v="2"/>
    <x v="1"/>
    <n v="10"/>
    <n v="11.2"/>
    <n v="200"/>
    <n v="224"/>
    <x v="125"/>
    <x v="19"/>
    <x v="7"/>
    <x v="1"/>
  </r>
  <r>
    <x v="220"/>
    <s v="P2006"/>
    <n v="6"/>
    <x v="1"/>
    <x v="0"/>
    <n v="44"/>
    <n v="72.599999999999994"/>
    <n v="264"/>
    <n v="435.59999999999997"/>
    <x v="184"/>
    <x v="20"/>
    <x v="7"/>
    <x v="2"/>
  </r>
  <r>
    <x v="221"/>
    <s v="P1007"/>
    <n v="16"/>
    <x v="0"/>
    <x v="1"/>
    <n v="10"/>
    <n v="11.2"/>
    <n v="160"/>
    <n v="179.2"/>
    <x v="185"/>
    <x v="21"/>
    <x v="7"/>
    <x v="2"/>
  </r>
  <r>
    <x v="222"/>
    <s v="P1008"/>
    <n v="2"/>
    <x v="0"/>
    <x v="1"/>
    <n v="16"/>
    <n v="17.600000000000001"/>
    <n v="32"/>
    <n v="35.200000000000003"/>
    <x v="186"/>
    <x v="22"/>
    <x v="7"/>
    <x v="2"/>
  </r>
  <r>
    <x v="223"/>
    <s v="P2004"/>
    <n v="20"/>
    <x v="1"/>
    <x v="0"/>
    <n v="98"/>
    <n v="110.74"/>
    <n v="1960"/>
    <n v="2214.7999999999997"/>
    <x v="187"/>
    <x v="23"/>
    <x v="7"/>
    <x v="2"/>
  </r>
  <r>
    <x v="224"/>
    <s v="P3003"/>
    <n v="14"/>
    <x v="0"/>
    <x v="1"/>
    <n v="123"/>
    <n v="140.22"/>
    <n v="1722"/>
    <n v="1963.08"/>
    <x v="188"/>
    <x v="24"/>
    <x v="7"/>
    <x v="2"/>
  </r>
  <r>
    <x v="225"/>
    <s v="P5010"/>
    <n v="4"/>
    <x v="0"/>
    <x v="0"/>
    <n v="12"/>
    <n v="17.52"/>
    <n v="48"/>
    <n v="70.08"/>
    <x v="189"/>
    <x v="25"/>
    <x v="7"/>
    <x v="2"/>
  </r>
  <r>
    <x v="226"/>
    <s v="P2001"/>
    <n v="4"/>
    <x v="1"/>
    <x v="1"/>
    <n v="136"/>
    <n v="179.52"/>
    <n v="544"/>
    <n v="718.08"/>
    <x v="190"/>
    <x v="26"/>
    <x v="7"/>
    <x v="2"/>
  </r>
  <r>
    <x v="227"/>
    <s v="P5007"/>
    <n v="17"/>
    <x v="2"/>
    <x v="0"/>
    <n v="10"/>
    <n v="11.2"/>
    <n v="170"/>
    <n v="190.39999999999998"/>
    <x v="191"/>
    <x v="27"/>
    <x v="7"/>
    <x v="2"/>
  </r>
  <r>
    <x v="228"/>
    <s v="P2001"/>
    <n v="18"/>
    <x v="2"/>
    <x v="1"/>
    <n v="136"/>
    <n v="179.52"/>
    <n v="2448"/>
    <n v="3231.36"/>
    <x v="192"/>
    <x v="28"/>
    <x v="7"/>
    <x v="2"/>
  </r>
  <r>
    <x v="229"/>
    <s v="P4006"/>
    <n v="11"/>
    <x v="1"/>
    <x v="1"/>
    <n v="136"/>
    <n v="224.4"/>
    <n v="1496"/>
    <n v="2468.4"/>
    <x v="193"/>
    <x v="29"/>
    <x v="7"/>
    <x v="2"/>
  </r>
  <r>
    <x v="230"/>
    <s v="P2007"/>
    <n v="6"/>
    <x v="0"/>
    <x v="0"/>
    <n v="71"/>
    <n v="79.52"/>
    <n v="426"/>
    <n v="477.12"/>
    <x v="65"/>
    <x v="30"/>
    <x v="7"/>
    <x v="3"/>
  </r>
  <r>
    <x v="231"/>
    <s v="P3007"/>
    <n v="19"/>
    <x v="0"/>
    <x v="1"/>
    <n v="105"/>
    <n v="117.6"/>
    <n v="1995"/>
    <n v="2234.4"/>
    <x v="194"/>
    <x v="31"/>
    <x v="7"/>
    <x v="3"/>
  </r>
  <r>
    <x v="232"/>
    <s v="P5003"/>
    <n v="16"/>
    <x v="1"/>
    <x v="1"/>
    <n v="133"/>
    <n v="151.62"/>
    <n v="2128"/>
    <n v="2425.92"/>
    <x v="195"/>
    <x v="32"/>
    <x v="7"/>
    <x v="3"/>
  </r>
  <r>
    <x v="233"/>
    <s v="P3010"/>
    <n v="2"/>
    <x v="0"/>
    <x v="0"/>
    <n v="133"/>
    <n v="194.18"/>
    <n v="266"/>
    <n v="388.36"/>
    <x v="196"/>
    <x v="33"/>
    <x v="7"/>
    <x v="3"/>
  </r>
  <r>
    <x v="234"/>
    <s v="P1002"/>
    <n v="18"/>
    <x v="0"/>
    <x v="1"/>
    <n v="105"/>
    <n v="117.6"/>
    <n v="1890"/>
    <n v="2116.7999999999997"/>
    <x v="197"/>
    <x v="34"/>
    <x v="7"/>
    <x v="3"/>
  </r>
  <r>
    <x v="235"/>
    <s v="P5006"/>
    <n v="10"/>
    <x v="1"/>
    <x v="0"/>
    <n v="16"/>
    <n v="26.4"/>
    <n v="160"/>
    <n v="264"/>
    <x v="198"/>
    <x v="35"/>
    <x v="7"/>
    <x v="3"/>
  </r>
  <r>
    <x v="236"/>
    <s v="P5010"/>
    <n v="16"/>
    <x v="2"/>
    <x v="1"/>
    <n v="12"/>
    <n v="17.52"/>
    <n v="192"/>
    <n v="280.32"/>
    <x v="199"/>
    <x v="36"/>
    <x v="7"/>
    <x v="3"/>
  </r>
  <r>
    <x v="237"/>
    <s v="P1004"/>
    <n v="17"/>
    <x v="2"/>
    <x v="0"/>
    <n v="71"/>
    <n v="80.23"/>
    <n v="1207"/>
    <n v="1363.91"/>
    <x v="200"/>
    <x v="37"/>
    <x v="7"/>
    <x v="3"/>
  </r>
  <r>
    <x v="238"/>
    <s v="P5003"/>
    <n v="8"/>
    <x v="1"/>
    <x v="1"/>
    <n v="133"/>
    <n v="151.62"/>
    <n v="1064"/>
    <n v="1212.96"/>
    <x v="201"/>
    <x v="38"/>
    <x v="7"/>
    <x v="3"/>
  </r>
  <r>
    <x v="239"/>
    <s v="P5004"/>
    <n v="11"/>
    <x v="0"/>
    <x v="1"/>
    <n v="124"/>
    <n v="140.12"/>
    <n v="1364"/>
    <n v="1541.3200000000002"/>
    <x v="202"/>
    <x v="39"/>
    <x v="7"/>
    <x v="3"/>
  </r>
  <r>
    <x v="240"/>
    <s v="P1009"/>
    <n v="14"/>
    <x v="0"/>
    <x v="0"/>
    <n v="10"/>
    <n v="13.5"/>
    <n v="140"/>
    <n v="189"/>
    <x v="203"/>
    <x v="40"/>
    <x v="7"/>
    <x v="4"/>
  </r>
  <r>
    <x v="241"/>
    <s v="P1008"/>
    <n v="16"/>
    <x v="1"/>
    <x v="1"/>
    <n v="16"/>
    <n v="17.600000000000001"/>
    <n v="256"/>
    <n v="281.60000000000002"/>
    <x v="204"/>
    <x v="41"/>
    <x v="7"/>
    <x v="4"/>
  </r>
  <r>
    <x v="242"/>
    <s v="P1006"/>
    <n v="19"/>
    <x v="0"/>
    <x v="1"/>
    <n v="124"/>
    <n v="204.60000000000002"/>
    <n v="2356"/>
    <n v="3887.4000000000005"/>
    <x v="205"/>
    <x v="42"/>
    <x v="7"/>
    <x v="4"/>
  </r>
  <r>
    <x v="243"/>
    <s v="P4004"/>
    <n v="2"/>
    <x v="0"/>
    <x v="0"/>
    <n v="10"/>
    <n v="11.3"/>
    <n v="20"/>
    <n v="22.6"/>
    <x v="206"/>
    <x v="43"/>
    <x v="7"/>
    <x v="4"/>
  </r>
  <r>
    <x v="244"/>
    <s v="P4003"/>
    <n v="3"/>
    <x v="1"/>
    <x v="1"/>
    <n v="16"/>
    <n v="18.240000000000002"/>
    <n v="48"/>
    <n v="54.720000000000006"/>
    <x v="207"/>
    <x v="44"/>
    <x v="8"/>
    <x v="4"/>
  </r>
  <r>
    <x v="245"/>
    <s v="P4010"/>
    <n v="13"/>
    <x v="2"/>
    <x v="0"/>
    <n v="105"/>
    <n v="153.30000000000001"/>
    <n v="1365"/>
    <n v="1992.9"/>
    <x v="146"/>
    <x v="45"/>
    <x v="8"/>
    <x v="4"/>
  </r>
  <r>
    <x v="246"/>
    <s v="P3005"/>
    <n v="9"/>
    <x v="2"/>
    <x v="1"/>
    <n v="12"/>
    <n v="16.920000000000002"/>
    <n v="108"/>
    <n v="152.28000000000003"/>
    <x v="208"/>
    <x v="46"/>
    <x v="8"/>
    <x v="4"/>
  </r>
  <r>
    <x v="247"/>
    <s v="P4006"/>
    <n v="18"/>
    <x v="1"/>
    <x v="0"/>
    <n v="136"/>
    <n v="224.4"/>
    <n v="2448"/>
    <n v="4039.2000000000003"/>
    <x v="209"/>
    <x v="47"/>
    <x v="8"/>
    <x v="4"/>
  </r>
  <r>
    <x v="248"/>
    <s v="P5003"/>
    <n v="5"/>
    <x v="0"/>
    <x v="1"/>
    <n v="133"/>
    <n v="151.62"/>
    <n v="665"/>
    <n v="758.1"/>
    <x v="210"/>
    <x v="48"/>
    <x v="8"/>
    <x v="4"/>
  </r>
  <r>
    <x v="249"/>
    <s v="P2006"/>
    <n v="17"/>
    <x v="0"/>
    <x v="1"/>
    <n v="44"/>
    <n v="72.599999999999994"/>
    <n v="748"/>
    <n v="1234.1999999999998"/>
    <x v="211"/>
    <x v="49"/>
    <x v="8"/>
    <x v="4"/>
  </r>
  <r>
    <x v="250"/>
    <s v="P5008"/>
    <n v="15"/>
    <x v="1"/>
    <x v="0"/>
    <n v="123"/>
    <n v="135.30000000000001"/>
    <n v="1845"/>
    <n v="2029.5000000000002"/>
    <x v="45"/>
    <x v="0"/>
    <x v="8"/>
    <x v="0"/>
  </r>
  <r>
    <x v="251"/>
    <s v="P4003"/>
    <n v="13"/>
    <x v="0"/>
    <x v="1"/>
    <n v="16"/>
    <n v="18.240000000000002"/>
    <n v="208"/>
    <n v="237.12000000000003"/>
    <x v="167"/>
    <x v="1"/>
    <x v="8"/>
    <x v="0"/>
  </r>
  <r>
    <x v="252"/>
    <s v="P1010"/>
    <n v="4"/>
    <x v="0"/>
    <x v="1"/>
    <n v="123"/>
    <n v="179.58"/>
    <n v="492"/>
    <n v="718.32"/>
    <x v="212"/>
    <x v="2"/>
    <x v="8"/>
    <x v="0"/>
  </r>
  <r>
    <x v="253"/>
    <s v="P1005"/>
    <n v="17"/>
    <x v="1"/>
    <x v="0"/>
    <n v="133"/>
    <n v="187.53"/>
    <n v="2261"/>
    <n v="3188.01"/>
    <x v="213"/>
    <x v="3"/>
    <x v="8"/>
    <x v="0"/>
  </r>
  <r>
    <x v="254"/>
    <s v="P4004"/>
    <n v="7"/>
    <x v="2"/>
    <x v="1"/>
    <n v="10"/>
    <n v="11.3"/>
    <n v="70"/>
    <n v="79.100000000000009"/>
    <x v="214"/>
    <x v="4"/>
    <x v="8"/>
    <x v="0"/>
  </r>
  <r>
    <x v="255"/>
    <s v="P4002"/>
    <n v="1"/>
    <x v="2"/>
    <x v="0"/>
    <n v="10"/>
    <n v="11.2"/>
    <n v="10"/>
    <n v="11.2"/>
    <x v="127"/>
    <x v="5"/>
    <x v="8"/>
    <x v="0"/>
  </r>
  <r>
    <x v="256"/>
    <s v="P1004"/>
    <n v="7"/>
    <x v="1"/>
    <x v="1"/>
    <n v="71"/>
    <n v="80.23"/>
    <n v="497"/>
    <n v="561.61"/>
    <x v="215"/>
    <x v="6"/>
    <x v="8"/>
    <x v="0"/>
  </r>
  <r>
    <x v="257"/>
    <s v="P2003"/>
    <n v="14"/>
    <x v="0"/>
    <x v="0"/>
    <n v="63"/>
    <n v="71.819999999999993"/>
    <n v="882"/>
    <n v="1005.4799999999999"/>
    <x v="216"/>
    <x v="7"/>
    <x v="8"/>
    <x v="0"/>
  </r>
  <r>
    <x v="258"/>
    <s v="P1002"/>
    <n v="18"/>
    <x v="0"/>
    <x v="1"/>
    <n v="105"/>
    <n v="117.6"/>
    <n v="1890"/>
    <n v="2116.7999999999997"/>
    <x v="197"/>
    <x v="8"/>
    <x v="8"/>
    <x v="0"/>
  </r>
  <r>
    <x v="259"/>
    <s v="P2005"/>
    <n v="20"/>
    <x v="1"/>
    <x v="1"/>
    <n v="105"/>
    <n v="148.05000000000001"/>
    <n v="2100"/>
    <n v="2961"/>
    <x v="217"/>
    <x v="9"/>
    <x v="8"/>
    <x v="0"/>
  </r>
  <r>
    <x v="260"/>
    <s v="P4009"/>
    <n v="16"/>
    <x v="0"/>
    <x v="0"/>
    <n v="98"/>
    <n v="132.30000000000001"/>
    <n v="1568"/>
    <n v="2116.8000000000002"/>
    <x v="218"/>
    <x v="10"/>
    <x v="8"/>
    <x v="1"/>
  </r>
  <r>
    <x v="261"/>
    <s v="P4007"/>
    <n v="2"/>
    <x v="0"/>
    <x v="1"/>
    <n v="12"/>
    <n v="13.44"/>
    <n v="24"/>
    <n v="26.88"/>
    <x v="219"/>
    <x v="11"/>
    <x v="8"/>
    <x v="1"/>
  </r>
  <r>
    <x v="262"/>
    <s v="P4010"/>
    <n v="15"/>
    <x v="1"/>
    <x v="1"/>
    <n v="105"/>
    <n v="153.30000000000001"/>
    <n v="1575"/>
    <n v="2299.5"/>
    <x v="220"/>
    <x v="12"/>
    <x v="8"/>
    <x v="1"/>
  </r>
  <r>
    <x v="263"/>
    <s v="P1007"/>
    <n v="11"/>
    <x v="2"/>
    <x v="0"/>
    <n v="10"/>
    <n v="11.2"/>
    <n v="110"/>
    <n v="123.19999999999999"/>
    <x v="221"/>
    <x v="13"/>
    <x v="8"/>
    <x v="1"/>
  </r>
  <r>
    <x v="264"/>
    <s v="P5009"/>
    <n v="20"/>
    <x v="2"/>
    <x v="1"/>
    <n v="136"/>
    <n v="183.6"/>
    <n v="2720"/>
    <n v="3672"/>
    <x v="222"/>
    <x v="14"/>
    <x v="8"/>
    <x v="1"/>
  </r>
  <r>
    <x v="265"/>
    <s v="P1008"/>
    <n v="8"/>
    <x v="1"/>
    <x v="0"/>
    <n v="16"/>
    <n v="17.600000000000001"/>
    <n v="128"/>
    <n v="140.80000000000001"/>
    <x v="15"/>
    <x v="15"/>
    <x v="8"/>
    <x v="1"/>
  </r>
  <r>
    <x v="266"/>
    <s v="P4006"/>
    <n v="10"/>
    <x v="0"/>
    <x v="1"/>
    <n v="136"/>
    <n v="224.4"/>
    <n v="1360"/>
    <n v="2244"/>
    <x v="223"/>
    <x v="16"/>
    <x v="8"/>
    <x v="1"/>
  </r>
  <r>
    <x v="267"/>
    <s v="P1010"/>
    <n v="11"/>
    <x v="0"/>
    <x v="0"/>
    <n v="123"/>
    <n v="179.58"/>
    <n v="1353"/>
    <n v="1975.38"/>
    <x v="224"/>
    <x v="17"/>
    <x v="8"/>
    <x v="1"/>
  </r>
  <r>
    <x v="268"/>
    <s v="P5004"/>
    <n v="3"/>
    <x v="1"/>
    <x v="1"/>
    <n v="124"/>
    <n v="140.12"/>
    <n v="372"/>
    <n v="420.36"/>
    <x v="225"/>
    <x v="18"/>
    <x v="8"/>
    <x v="1"/>
  </r>
  <r>
    <x v="269"/>
    <s v="P3005"/>
    <n v="12"/>
    <x v="0"/>
    <x v="1"/>
    <n v="12"/>
    <n v="16.920000000000002"/>
    <n v="144"/>
    <n v="203.04000000000002"/>
    <x v="226"/>
    <x v="19"/>
    <x v="8"/>
    <x v="1"/>
  </r>
  <r>
    <x v="270"/>
    <s v="P2007"/>
    <n v="7"/>
    <x v="0"/>
    <x v="0"/>
    <n v="71"/>
    <n v="79.52"/>
    <n v="497"/>
    <n v="556.64"/>
    <x v="134"/>
    <x v="20"/>
    <x v="8"/>
    <x v="2"/>
  </r>
  <r>
    <x v="271"/>
    <s v="P1009"/>
    <n v="19"/>
    <x v="1"/>
    <x v="1"/>
    <n v="10"/>
    <n v="13.5"/>
    <n v="190"/>
    <n v="256.5"/>
    <x v="227"/>
    <x v="21"/>
    <x v="8"/>
    <x v="2"/>
  </r>
  <r>
    <x v="272"/>
    <s v="P3006"/>
    <n v="17"/>
    <x v="2"/>
    <x v="1"/>
    <n v="98"/>
    <n v="161.69999999999999"/>
    <n v="1666"/>
    <n v="2748.8999999999996"/>
    <x v="228"/>
    <x v="22"/>
    <x v="8"/>
    <x v="2"/>
  </r>
  <r>
    <x v="273"/>
    <s v="P1003"/>
    <n v="20"/>
    <x v="2"/>
    <x v="0"/>
    <n v="44"/>
    <n v="50.16"/>
    <n v="880"/>
    <n v="1003.1999999999999"/>
    <x v="229"/>
    <x v="23"/>
    <x v="8"/>
    <x v="2"/>
  </r>
  <r>
    <x v="274"/>
    <s v="P5003"/>
    <n v="16"/>
    <x v="1"/>
    <x v="1"/>
    <n v="133"/>
    <n v="151.62"/>
    <n v="2128"/>
    <n v="2425.92"/>
    <x v="195"/>
    <x v="24"/>
    <x v="9"/>
    <x v="2"/>
  </r>
  <r>
    <x v="275"/>
    <s v="P1002"/>
    <n v="11"/>
    <x v="0"/>
    <x v="0"/>
    <n v="105"/>
    <n v="117.6"/>
    <n v="1155"/>
    <n v="1293.5999999999999"/>
    <x v="230"/>
    <x v="25"/>
    <x v="9"/>
    <x v="2"/>
  </r>
  <r>
    <x v="276"/>
    <s v="P5010"/>
    <n v="4"/>
    <x v="0"/>
    <x v="1"/>
    <n v="12"/>
    <n v="17.52"/>
    <n v="48"/>
    <n v="70.08"/>
    <x v="189"/>
    <x v="26"/>
    <x v="9"/>
    <x v="2"/>
  </r>
  <r>
    <x v="277"/>
    <s v="P2007"/>
    <n v="6"/>
    <x v="1"/>
    <x v="0"/>
    <n v="71"/>
    <n v="79.52"/>
    <n v="426"/>
    <n v="477.12"/>
    <x v="65"/>
    <x v="27"/>
    <x v="9"/>
    <x v="2"/>
  </r>
  <r>
    <x v="278"/>
    <s v="P1010"/>
    <n v="16"/>
    <x v="0"/>
    <x v="1"/>
    <n v="123"/>
    <n v="179.58"/>
    <n v="1968"/>
    <n v="2873.28"/>
    <x v="231"/>
    <x v="28"/>
    <x v="9"/>
    <x v="2"/>
  </r>
  <r>
    <x v="279"/>
    <s v="P1007"/>
    <n v="2"/>
    <x v="0"/>
    <x v="1"/>
    <n v="10"/>
    <n v="11.2"/>
    <n v="20"/>
    <n v="22.4"/>
    <x v="232"/>
    <x v="29"/>
    <x v="9"/>
    <x v="2"/>
  </r>
  <r>
    <x v="280"/>
    <s v="P1001"/>
    <n v="13"/>
    <x v="1"/>
    <x v="0"/>
    <n v="98"/>
    <n v="129.36000000000001"/>
    <n v="1274"/>
    <n v="1681.6800000000003"/>
    <x v="63"/>
    <x v="30"/>
    <x v="9"/>
    <x v="3"/>
  </r>
  <r>
    <x v="281"/>
    <s v="P2007"/>
    <n v="14"/>
    <x v="2"/>
    <x v="1"/>
    <n v="71"/>
    <n v="79.52"/>
    <n v="994"/>
    <n v="1113.28"/>
    <x v="233"/>
    <x v="31"/>
    <x v="9"/>
    <x v="3"/>
  </r>
  <r>
    <x v="282"/>
    <s v="P2001"/>
    <n v="7"/>
    <x v="2"/>
    <x v="1"/>
    <n v="136"/>
    <n v="179.52"/>
    <n v="952"/>
    <n v="1256.6400000000001"/>
    <x v="234"/>
    <x v="32"/>
    <x v="9"/>
    <x v="3"/>
  </r>
  <r>
    <x v="283"/>
    <s v="P3005"/>
    <n v="10"/>
    <x v="1"/>
    <x v="0"/>
    <n v="12"/>
    <n v="16.920000000000002"/>
    <n v="120"/>
    <n v="169.20000000000002"/>
    <x v="235"/>
    <x v="33"/>
    <x v="9"/>
    <x v="3"/>
  </r>
  <r>
    <x v="284"/>
    <s v="P1004"/>
    <n v="17"/>
    <x v="0"/>
    <x v="1"/>
    <n v="71"/>
    <n v="80.23"/>
    <n v="1207"/>
    <n v="1363.91"/>
    <x v="200"/>
    <x v="34"/>
    <x v="9"/>
    <x v="3"/>
  </r>
  <r>
    <x v="285"/>
    <s v="P4001"/>
    <n v="17"/>
    <x v="0"/>
    <x v="0"/>
    <n v="124"/>
    <n v="163.68"/>
    <n v="2108"/>
    <n v="2782.56"/>
    <x v="236"/>
    <x v="35"/>
    <x v="9"/>
    <x v="3"/>
  </r>
  <r>
    <x v="286"/>
    <s v="P4007"/>
    <n v="20"/>
    <x v="1"/>
    <x v="1"/>
    <n v="12"/>
    <n v="13.44"/>
    <n v="240"/>
    <n v="268.8"/>
    <x v="237"/>
    <x v="36"/>
    <x v="9"/>
    <x v="3"/>
  </r>
  <r>
    <x v="287"/>
    <s v="P2004"/>
    <n v="13"/>
    <x v="0"/>
    <x v="0"/>
    <n v="98"/>
    <n v="110.74"/>
    <n v="1274"/>
    <n v="1439.62"/>
    <x v="238"/>
    <x v="37"/>
    <x v="9"/>
    <x v="3"/>
  </r>
  <r>
    <x v="288"/>
    <s v="P3002"/>
    <n v="4"/>
    <x v="0"/>
    <x v="1"/>
    <n v="10"/>
    <n v="11.2"/>
    <n v="40"/>
    <n v="44.8"/>
    <x v="14"/>
    <x v="38"/>
    <x v="9"/>
    <x v="3"/>
  </r>
  <r>
    <x v="289"/>
    <s v="P3001"/>
    <n v="3"/>
    <x v="1"/>
    <x v="1"/>
    <n v="16"/>
    <n v="21.12"/>
    <n v="48"/>
    <n v="63.36"/>
    <x v="18"/>
    <x v="39"/>
    <x v="9"/>
    <x v="3"/>
  </r>
  <r>
    <x v="290"/>
    <s v="P5009"/>
    <n v="12"/>
    <x v="2"/>
    <x v="0"/>
    <n v="136"/>
    <n v="183.6"/>
    <n v="1632"/>
    <n v="2203.1999999999998"/>
    <x v="239"/>
    <x v="40"/>
    <x v="9"/>
    <x v="4"/>
  </r>
  <r>
    <x v="291"/>
    <s v="P2007"/>
    <n v="2"/>
    <x v="2"/>
    <x v="1"/>
    <n v="71"/>
    <n v="79.52"/>
    <n v="142"/>
    <n v="159.04"/>
    <x v="240"/>
    <x v="41"/>
    <x v="9"/>
    <x v="4"/>
  </r>
  <r>
    <x v="292"/>
    <s v="P3008"/>
    <n v="5"/>
    <x v="1"/>
    <x v="1"/>
    <n v="44"/>
    <n v="48.4"/>
    <n v="220"/>
    <n v="242"/>
    <x v="241"/>
    <x v="42"/>
    <x v="9"/>
    <x v="4"/>
  </r>
  <r>
    <x v="293"/>
    <s v="P4002"/>
    <n v="13"/>
    <x v="0"/>
    <x v="0"/>
    <n v="10"/>
    <n v="11.2"/>
    <n v="130"/>
    <n v="145.6"/>
    <x v="83"/>
    <x v="43"/>
    <x v="9"/>
    <x v="4"/>
  </r>
  <r>
    <x v="294"/>
    <s v="P5002"/>
    <n v="18"/>
    <x v="0"/>
    <x v="1"/>
    <n v="71"/>
    <n v="79.52"/>
    <n v="1278"/>
    <n v="1431.36"/>
    <x v="242"/>
    <x v="44"/>
    <x v="9"/>
    <x v="4"/>
  </r>
  <r>
    <x v="295"/>
    <s v="P5001"/>
    <n v="7"/>
    <x v="1"/>
    <x v="0"/>
    <n v="44"/>
    <n v="58.08"/>
    <n v="308"/>
    <n v="406.56"/>
    <x v="243"/>
    <x v="45"/>
    <x v="9"/>
    <x v="4"/>
  </r>
  <r>
    <x v="296"/>
    <s v="P2006"/>
    <n v="4"/>
    <x v="0"/>
    <x v="1"/>
    <n v="44"/>
    <n v="72.599999999999994"/>
    <n v="176"/>
    <n v="290.39999999999998"/>
    <x v="244"/>
    <x v="46"/>
    <x v="9"/>
    <x v="4"/>
  </r>
  <r>
    <x v="297"/>
    <s v="P1005"/>
    <n v="1"/>
    <x v="0"/>
    <x v="0"/>
    <n v="133"/>
    <n v="187.53"/>
    <n v="133"/>
    <n v="187.53"/>
    <x v="245"/>
    <x v="47"/>
    <x v="9"/>
    <x v="4"/>
  </r>
  <r>
    <x v="298"/>
    <s v="P5008"/>
    <n v="6"/>
    <x v="1"/>
    <x v="1"/>
    <n v="123"/>
    <n v="135.30000000000001"/>
    <n v="738"/>
    <n v="811.80000000000007"/>
    <x v="246"/>
    <x v="48"/>
    <x v="9"/>
    <x v="4"/>
  </r>
  <r>
    <x v="299"/>
    <s v="P4006"/>
    <n v="16"/>
    <x v="2"/>
    <x v="1"/>
    <n v="136"/>
    <n v="224.4"/>
    <n v="2176"/>
    <n v="3590.4"/>
    <x v="247"/>
    <x v="49"/>
    <x v="9"/>
    <x v="4"/>
  </r>
  <r>
    <x v="300"/>
    <s v="P1008"/>
    <n v="3"/>
    <x v="2"/>
    <x v="0"/>
    <n v="16"/>
    <n v="17.600000000000001"/>
    <n v="48"/>
    <n v="52.800000000000004"/>
    <x v="248"/>
    <x v="0"/>
    <x v="9"/>
    <x v="0"/>
  </r>
  <r>
    <x v="301"/>
    <s v="P1001"/>
    <n v="16"/>
    <x v="1"/>
    <x v="1"/>
    <n v="98"/>
    <n v="129.36000000000001"/>
    <n v="1568"/>
    <n v="2069.7600000000002"/>
    <x v="249"/>
    <x v="1"/>
    <x v="9"/>
    <x v="0"/>
  </r>
  <r>
    <x v="302"/>
    <s v="P2009"/>
    <n v="2"/>
    <x v="0"/>
    <x v="1"/>
    <n v="124"/>
    <n v="167.4"/>
    <n v="248"/>
    <n v="334.8"/>
    <x v="250"/>
    <x v="2"/>
    <x v="9"/>
    <x v="0"/>
  </r>
  <r>
    <x v="303"/>
    <s v="P4010"/>
    <n v="19"/>
    <x v="0"/>
    <x v="0"/>
    <n v="105"/>
    <n v="153.30000000000001"/>
    <n v="1995"/>
    <n v="2912.7000000000003"/>
    <x v="163"/>
    <x v="3"/>
    <x v="9"/>
    <x v="0"/>
  </r>
  <r>
    <x v="304"/>
    <s v="P5008"/>
    <n v="19"/>
    <x v="1"/>
    <x v="1"/>
    <n v="123"/>
    <n v="135.30000000000001"/>
    <n v="2337"/>
    <n v="2570.7000000000003"/>
    <x v="251"/>
    <x v="4"/>
    <x v="9"/>
    <x v="0"/>
  </r>
  <r>
    <x v="305"/>
    <s v="P3004"/>
    <n v="11"/>
    <x v="0"/>
    <x v="0"/>
    <n v="136"/>
    <n v="153.68"/>
    <n v="1496"/>
    <n v="1690.48"/>
    <x v="252"/>
    <x v="5"/>
    <x v="10"/>
    <x v="0"/>
  </r>
  <r>
    <x v="306"/>
    <s v="P2010"/>
    <n v="3"/>
    <x v="0"/>
    <x v="1"/>
    <n v="10"/>
    <n v="14.600000000000001"/>
    <n v="30"/>
    <n v="43.800000000000004"/>
    <x v="253"/>
    <x v="6"/>
    <x v="10"/>
    <x v="0"/>
  </r>
  <r>
    <x v="307"/>
    <s v="P5004"/>
    <n v="10"/>
    <x v="1"/>
    <x v="0"/>
    <n v="124"/>
    <n v="140.12"/>
    <n v="1240"/>
    <n v="1401.2"/>
    <x v="31"/>
    <x v="7"/>
    <x v="10"/>
    <x v="0"/>
  </r>
  <r>
    <x v="308"/>
    <s v="P4008"/>
    <n v="19"/>
    <x v="2"/>
    <x v="1"/>
    <n v="63"/>
    <n v="69.3"/>
    <n v="1197"/>
    <n v="1316.7"/>
    <x v="254"/>
    <x v="8"/>
    <x v="10"/>
    <x v="0"/>
  </r>
  <r>
    <x v="309"/>
    <s v="P2008"/>
    <n v="14"/>
    <x v="2"/>
    <x v="1"/>
    <n v="133"/>
    <n v="146.30000000000001"/>
    <n v="1862"/>
    <n v="2048.2000000000003"/>
    <x v="255"/>
    <x v="9"/>
    <x v="10"/>
    <x v="0"/>
  </r>
  <r>
    <x v="310"/>
    <s v="P1002"/>
    <n v="17"/>
    <x v="1"/>
    <x v="0"/>
    <n v="105"/>
    <n v="117.6"/>
    <n v="1785"/>
    <n v="1999.1999999999998"/>
    <x v="82"/>
    <x v="10"/>
    <x v="10"/>
    <x v="1"/>
  </r>
  <r>
    <x v="311"/>
    <s v="P4008"/>
    <n v="1"/>
    <x v="0"/>
    <x v="1"/>
    <n v="63"/>
    <n v="69.3"/>
    <n v="63"/>
    <n v="69.3"/>
    <x v="256"/>
    <x v="11"/>
    <x v="10"/>
    <x v="1"/>
  </r>
  <r>
    <x v="312"/>
    <s v="P2005"/>
    <n v="12"/>
    <x v="0"/>
    <x v="1"/>
    <n v="105"/>
    <n v="148.05000000000001"/>
    <n v="1260"/>
    <n v="1776.6000000000001"/>
    <x v="257"/>
    <x v="12"/>
    <x v="10"/>
    <x v="1"/>
  </r>
  <r>
    <x v="313"/>
    <s v="P1008"/>
    <n v="4"/>
    <x v="1"/>
    <x v="0"/>
    <n v="16"/>
    <n v="17.600000000000001"/>
    <n v="64"/>
    <n v="70.400000000000006"/>
    <x v="258"/>
    <x v="13"/>
    <x v="10"/>
    <x v="1"/>
  </r>
  <r>
    <x v="314"/>
    <s v="P1008"/>
    <n v="14"/>
    <x v="0"/>
    <x v="1"/>
    <n v="16"/>
    <n v="17.600000000000001"/>
    <n v="224"/>
    <n v="246.40000000000003"/>
    <x v="259"/>
    <x v="14"/>
    <x v="10"/>
    <x v="1"/>
  </r>
  <r>
    <x v="315"/>
    <s v="P4010"/>
    <n v="10"/>
    <x v="0"/>
    <x v="0"/>
    <n v="105"/>
    <n v="153.30000000000001"/>
    <n v="1050"/>
    <n v="1533"/>
    <x v="260"/>
    <x v="15"/>
    <x v="10"/>
    <x v="1"/>
  </r>
  <r>
    <x v="316"/>
    <s v="P4001"/>
    <n v="12"/>
    <x v="1"/>
    <x v="1"/>
    <n v="124"/>
    <n v="163.68"/>
    <n v="1488"/>
    <n v="1964.16"/>
    <x v="261"/>
    <x v="16"/>
    <x v="10"/>
    <x v="1"/>
  </r>
  <r>
    <x v="317"/>
    <s v="P2009"/>
    <n v="12"/>
    <x v="2"/>
    <x v="0"/>
    <n v="124"/>
    <n v="167.4"/>
    <n v="1488"/>
    <n v="2008.8000000000002"/>
    <x v="175"/>
    <x v="17"/>
    <x v="10"/>
    <x v="1"/>
  </r>
  <r>
    <x v="318"/>
    <s v="P2006"/>
    <n v="8"/>
    <x v="2"/>
    <x v="1"/>
    <n v="44"/>
    <n v="72.599999999999994"/>
    <n v="352"/>
    <n v="580.79999999999995"/>
    <x v="262"/>
    <x v="18"/>
    <x v="10"/>
    <x v="1"/>
  </r>
  <r>
    <x v="319"/>
    <s v="P2005"/>
    <n v="19"/>
    <x v="1"/>
    <x v="1"/>
    <n v="105"/>
    <n v="148.05000000000001"/>
    <n v="1995"/>
    <n v="2812.9500000000003"/>
    <x v="263"/>
    <x v="19"/>
    <x v="10"/>
    <x v="1"/>
  </r>
  <r>
    <x v="320"/>
    <s v="P1002"/>
    <n v="3"/>
    <x v="0"/>
    <x v="0"/>
    <n v="105"/>
    <n v="117.6"/>
    <n v="315"/>
    <n v="352.79999999999995"/>
    <x v="264"/>
    <x v="20"/>
    <x v="10"/>
    <x v="2"/>
  </r>
  <r>
    <x v="321"/>
    <s v="P1006"/>
    <n v="4"/>
    <x v="0"/>
    <x v="1"/>
    <n v="124"/>
    <n v="204.60000000000002"/>
    <n v="496"/>
    <n v="818.40000000000009"/>
    <x v="265"/>
    <x v="21"/>
    <x v="10"/>
    <x v="2"/>
  </r>
  <r>
    <x v="322"/>
    <s v="P1003"/>
    <n v="13"/>
    <x v="1"/>
    <x v="1"/>
    <n v="44"/>
    <n v="50.16"/>
    <n v="572"/>
    <n v="652.07999999999993"/>
    <x v="182"/>
    <x v="22"/>
    <x v="10"/>
    <x v="2"/>
  </r>
  <r>
    <x v="323"/>
    <s v="P3003"/>
    <n v="18"/>
    <x v="0"/>
    <x v="0"/>
    <n v="123"/>
    <n v="140.22"/>
    <n v="2214"/>
    <n v="2523.96"/>
    <x v="266"/>
    <x v="23"/>
    <x v="10"/>
    <x v="2"/>
  </r>
  <r>
    <x v="324"/>
    <s v="P1007"/>
    <n v="20"/>
    <x v="0"/>
    <x v="1"/>
    <n v="10"/>
    <n v="11.2"/>
    <n v="200"/>
    <n v="224"/>
    <x v="125"/>
    <x v="24"/>
    <x v="10"/>
    <x v="2"/>
  </r>
  <r>
    <x v="325"/>
    <s v="P5005"/>
    <n v="17"/>
    <x v="1"/>
    <x v="0"/>
    <n v="10"/>
    <n v="14.100000000000001"/>
    <n v="170"/>
    <n v="239.70000000000002"/>
    <x v="267"/>
    <x v="25"/>
    <x v="10"/>
    <x v="2"/>
  </r>
  <r>
    <x v="326"/>
    <s v="P4005"/>
    <n v="5"/>
    <x v="2"/>
    <x v="1"/>
    <n v="123"/>
    <n v="173.43"/>
    <n v="615"/>
    <n v="867.15000000000009"/>
    <x v="47"/>
    <x v="26"/>
    <x v="10"/>
    <x v="2"/>
  </r>
  <r>
    <x v="327"/>
    <s v="P3009"/>
    <n v="4"/>
    <x v="2"/>
    <x v="0"/>
    <n v="71"/>
    <n v="95.85"/>
    <n v="284"/>
    <n v="383.4"/>
    <x v="268"/>
    <x v="27"/>
    <x v="10"/>
    <x v="2"/>
  </r>
  <r>
    <x v="328"/>
    <s v="P1007"/>
    <n v="16"/>
    <x v="1"/>
    <x v="1"/>
    <n v="10"/>
    <n v="11.2"/>
    <n v="160"/>
    <n v="179.2"/>
    <x v="185"/>
    <x v="28"/>
    <x v="10"/>
    <x v="2"/>
  </r>
  <r>
    <x v="329"/>
    <s v="P5005"/>
    <n v="12"/>
    <x v="0"/>
    <x v="1"/>
    <n v="10"/>
    <n v="14.100000000000001"/>
    <n v="120"/>
    <n v="169.20000000000002"/>
    <x v="235"/>
    <x v="29"/>
    <x v="10"/>
    <x v="2"/>
  </r>
  <r>
    <x v="330"/>
    <s v="P4009"/>
    <n v="7"/>
    <x v="0"/>
    <x v="0"/>
    <n v="98"/>
    <n v="132.30000000000001"/>
    <n v="686"/>
    <n v="926.10000000000014"/>
    <x v="269"/>
    <x v="30"/>
    <x v="10"/>
    <x v="3"/>
  </r>
  <r>
    <x v="331"/>
    <s v="P2002"/>
    <n v="9"/>
    <x v="1"/>
    <x v="1"/>
    <n v="12"/>
    <n v="13.44"/>
    <n v="108"/>
    <n v="120.96"/>
    <x v="180"/>
    <x v="31"/>
    <x v="10"/>
    <x v="3"/>
  </r>
  <r>
    <x v="332"/>
    <s v="P5003"/>
    <n v="17"/>
    <x v="0"/>
    <x v="1"/>
    <n v="133"/>
    <n v="151.62"/>
    <n v="2261"/>
    <n v="2577.54"/>
    <x v="270"/>
    <x v="32"/>
    <x v="10"/>
    <x v="3"/>
  </r>
  <r>
    <x v="333"/>
    <s v="P3008"/>
    <n v="3"/>
    <x v="0"/>
    <x v="0"/>
    <n v="44"/>
    <n v="48.4"/>
    <n v="132"/>
    <n v="145.19999999999999"/>
    <x v="221"/>
    <x v="33"/>
    <x v="10"/>
    <x v="3"/>
  </r>
  <r>
    <x v="334"/>
    <s v="P2008"/>
    <n v="14"/>
    <x v="1"/>
    <x v="1"/>
    <n v="133"/>
    <n v="146.30000000000001"/>
    <n v="1862"/>
    <n v="2048.2000000000003"/>
    <x v="255"/>
    <x v="34"/>
    <x v="10"/>
    <x v="3"/>
  </r>
  <r>
    <x v="335"/>
    <s v="P2008"/>
    <n v="6"/>
    <x v="2"/>
    <x v="0"/>
    <n v="133"/>
    <n v="146.30000000000001"/>
    <n v="798"/>
    <n v="877.80000000000007"/>
    <x v="120"/>
    <x v="35"/>
    <x v="11"/>
    <x v="3"/>
  </r>
  <r>
    <x v="336"/>
    <s v="P4008"/>
    <n v="10"/>
    <x v="2"/>
    <x v="1"/>
    <n v="63"/>
    <n v="69.3"/>
    <n v="630"/>
    <n v="693"/>
    <x v="271"/>
    <x v="36"/>
    <x v="11"/>
    <x v="3"/>
  </r>
  <r>
    <x v="337"/>
    <s v="P4008"/>
    <n v="15"/>
    <x v="1"/>
    <x v="0"/>
    <n v="63"/>
    <n v="69.3"/>
    <n v="945"/>
    <n v="1039.5"/>
    <x v="272"/>
    <x v="37"/>
    <x v="11"/>
    <x v="3"/>
  </r>
  <r>
    <x v="338"/>
    <s v="P3007"/>
    <n v="14"/>
    <x v="0"/>
    <x v="1"/>
    <n v="105"/>
    <n v="117.6"/>
    <n v="1470"/>
    <n v="1646.3999999999999"/>
    <x v="273"/>
    <x v="38"/>
    <x v="11"/>
    <x v="3"/>
  </r>
  <r>
    <x v="339"/>
    <s v="P5004"/>
    <n v="4"/>
    <x v="0"/>
    <x v="1"/>
    <n v="124"/>
    <n v="140.12"/>
    <n v="496"/>
    <n v="560.48"/>
    <x v="274"/>
    <x v="39"/>
    <x v="11"/>
    <x v="3"/>
  </r>
  <r>
    <x v="340"/>
    <s v="P1008"/>
    <n v="8"/>
    <x v="1"/>
    <x v="0"/>
    <n v="16"/>
    <n v="17.600000000000001"/>
    <n v="128"/>
    <n v="140.80000000000001"/>
    <x v="15"/>
    <x v="40"/>
    <x v="11"/>
    <x v="4"/>
  </r>
  <r>
    <x v="341"/>
    <s v="P5006"/>
    <n v="20"/>
    <x v="0"/>
    <x v="1"/>
    <n v="16"/>
    <n v="26.4"/>
    <n v="320"/>
    <n v="528"/>
    <x v="275"/>
    <x v="41"/>
    <x v="11"/>
    <x v="4"/>
  </r>
  <r>
    <x v="342"/>
    <s v="P2008"/>
    <n v="5"/>
    <x v="0"/>
    <x v="1"/>
    <n v="133"/>
    <n v="146.30000000000001"/>
    <n v="665"/>
    <n v="731.5"/>
    <x v="227"/>
    <x v="42"/>
    <x v="11"/>
    <x v="4"/>
  </r>
  <r>
    <x v="343"/>
    <s v="P5008"/>
    <n v="15"/>
    <x v="1"/>
    <x v="0"/>
    <n v="123"/>
    <n v="135.30000000000001"/>
    <n v="1845"/>
    <n v="2029.5000000000002"/>
    <x v="45"/>
    <x v="43"/>
    <x v="11"/>
    <x v="4"/>
  </r>
  <r>
    <x v="344"/>
    <s v="P3004"/>
    <n v="10"/>
    <x v="2"/>
    <x v="1"/>
    <n v="136"/>
    <n v="153.68"/>
    <n v="1360"/>
    <n v="1536.8000000000002"/>
    <x v="0"/>
    <x v="44"/>
    <x v="11"/>
    <x v="4"/>
  </r>
  <r>
    <x v="345"/>
    <s v="P4007"/>
    <n v="11"/>
    <x v="2"/>
    <x v="0"/>
    <n v="12"/>
    <n v="13.44"/>
    <n v="132"/>
    <n v="147.84"/>
    <x v="276"/>
    <x v="45"/>
    <x v="11"/>
    <x v="4"/>
  </r>
  <r>
    <x v="346"/>
    <s v="P4009"/>
    <n v="6"/>
    <x v="1"/>
    <x v="1"/>
    <n v="98"/>
    <n v="132.30000000000001"/>
    <n v="588"/>
    <n v="793.80000000000007"/>
    <x v="277"/>
    <x v="46"/>
    <x v="11"/>
    <x v="4"/>
  </r>
  <r>
    <x v="347"/>
    <s v="P5001"/>
    <n v="5"/>
    <x v="0"/>
    <x v="0"/>
    <n v="44"/>
    <n v="58.08"/>
    <n v="220"/>
    <n v="290.39999999999998"/>
    <x v="278"/>
    <x v="47"/>
    <x v="11"/>
    <x v="4"/>
  </r>
  <r>
    <x v="348"/>
    <s v="P3010"/>
    <n v="6"/>
    <x v="0"/>
    <x v="1"/>
    <n v="133"/>
    <n v="194.18"/>
    <n v="798"/>
    <n v="1165.08"/>
    <x v="279"/>
    <x v="48"/>
    <x v="11"/>
    <x v="4"/>
  </r>
  <r>
    <x v="349"/>
    <s v="P1004"/>
    <n v="10"/>
    <x v="1"/>
    <x v="1"/>
    <n v="71"/>
    <n v="80.23"/>
    <n v="710"/>
    <n v="802.30000000000007"/>
    <x v="280"/>
    <x v="49"/>
    <x v="11"/>
    <x v="4"/>
  </r>
  <r>
    <x v="350"/>
    <s v="P2007"/>
    <n v="20"/>
    <x v="0"/>
    <x v="0"/>
    <n v="71"/>
    <n v="79.52"/>
    <n v="1420"/>
    <n v="1590.3999999999999"/>
    <x v="281"/>
    <x v="0"/>
    <x v="11"/>
    <x v="0"/>
  </r>
  <r>
    <x v="351"/>
    <s v="P1003"/>
    <n v="10"/>
    <x v="0"/>
    <x v="1"/>
    <n v="44"/>
    <n v="50.16"/>
    <n v="440"/>
    <n v="501.59999999999997"/>
    <x v="282"/>
    <x v="1"/>
    <x v="11"/>
    <x v="0"/>
  </r>
  <r>
    <x v="352"/>
    <s v="P1006"/>
    <n v="11"/>
    <x v="1"/>
    <x v="1"/>
    <n v="124"/>
    <n v="204.60000000000002"/>
    <n v="1364"/>
    <n v="2250.6000000000004"/>
    <x v="283"/>
    <x v="2"/>
    <x v="11"/>
    <x v="0"/>
  </r>
  <r>
    <x v="353"/>
    <s v="P1005"/>
    <n v="19"/>
    <x v="2"/>
    <x v="0"/>
    <n v="133"/>
    <n v="187.53"/>
    <n v="2527"/>
    <n v="3563.07"/>
    <x v="17"/>
    <x v="3"/>
    <x v="11"/>
    <x v="0"/>
  </r>
  <r>
    <x v="354"/>
    <s v="P4010"/>
    <n v="7"/>
    <x v="2"/>
    <x v="1"/>
    <n v="105"/>
    <n v="153.30000000000001"/>
    <n v="735"/>
    <n v="1073.1000000000001"/>
    <x v="284"/>
    <x v="4"/>
    <x v="11"/>
    <x v="0"/>
  </r>
  <r>
    <x v="355"/>
    <s v="P4006"/>
    <n v="11"/>
    <x v="1"/>
    <x v="0"/>
    <n v="136"/>
    <n v="224.4"/>
    <n v="1496"/>
    <n v="2468.4"/>
    <x v="193"/>
    <x v="5"/>
    <x v="11"/>
    <x v="0"/>
  </r>
  <r>
    <x v="356"/>
    <s v="P1004"/>
    <n v="5"/>
    <x v="0"/>
    <x v="1"/>
    <n v="71"/>
    <n v="80.23"/>
    <n v="355"/>
    <n v="401.15000000000003"/>
    <x v="285"/>
    <x v="6"/>
    <x v="11"/>
    <x v="0"/>
  </r>
  <r>
    <x v="357"/>
    <s v="P3001"/>
    <n v="11"/>
    <x v="0"/>
    <x v="0"/>
    <n v="16"/>
    <n v="21.12"/>
    <n v="176"/>
    <n v="232.32000000000002"/>
    <x v="286"/>
    <x v="7"/>
    <x v="11"/>
    <x v="0"/>
  </r>
  <r>
    <x v="358"/>
    <s v="P1007"/>
    <n v="14"/>
    <x v="1"/>
    <x v="1"/>
    <n v="10"/>
    <n v="11.2"/>
    <n v="140"/>
    <n v="156.79999999999998"/>
    <x v="287"/>
    <x v="8"/>
    <x v="11"/>
    <x v="0"/>
  </r>
  <r>
    <x v="359"/>
    <s v="P3006"/>
    <n v="11"/>
    <x v="0"/>
    <x v="1"/>
    <n v="98"/>
    <n v="161.69999999999999"/>
    <n v="1078"/>
    <n v="1778.6999999999998"/>
    <x v="138"/>
    <x v="9"/>
    <x v="11"/>
    <x v="0"/>
  </r>
  <r>
    <x v="360"/>
    <s v="P3001"/>
    <n v="17"/>
    <x v="0"/>
    <x v="0"/>
    <n v="16"/>
    <n v="21.12"/>
    <n v="272"/>
    <n v="359.04"/>
    <x v="111"/>
    <x v="10"/>
    <x v="11"/>
    <x v="1"/>
  </r>
  <r>
    <x v="361"/>
    <s v="P5006"/>
    <n v="2"/>
    <x v="1"/>
    <x v="1"/>
    <n v="16"/>
    <n v="26.4"/>
    <n v="32"/>
    <n v="52.8"/>
    <x v="288"/>
    <x v="11"/>
    <x v="11"/>
    <x v="1"/>
  </r>
  <r>
    <x v="362"/>
    <s v="P2009"/>
    <n v="8"/>
    <x v="2"/>
    <x v="1"/>
    <n v="124"/>
    <n v="167.4"/>
    <n v="992"/>
    <n v="1339.2"/>
    <x v="289"/>
    <x v="12"/>
    <x v="11"/>
    <x v="1"/>
  </r>
  <r>
    <x v="363"/>
    <s v="P1006"/>
    <n v="17"/>
    <x v="2"/>
    <x v="0"/>
    <n v="124"/>
    <n v="204.60000000000002"/>
    <n v="2108"/>
    <n v="3478.2000000000003"/>
    <x v="153"/>
    <x v="13"/>
    <x v="11"/>
    <x v="1"/>
  </r>
  <r>
    <x v="364"/>
    <s v="P3009"/>
    <n v="19"/>
    <x v="1"/>
    <x v="1"/>
    <n v="71"/>
    <n v="95.85"/>
    <n v="1349"/>
    <n v="1821.1499999999999"/>
    <x v="290"/>
    <x v="14"/>
    <x v="11"/>
    <x v="1"/>
  </r>
  <r>
    <x v="365"/>
    <s v="P1007"/>
    <n v="10"/>
    <x v="0"/>
    <x v="0"/>
    <n v="10"/>
    <n v="11.2"/>
    <n v="100"/>
    <n v="112"/>
    <x v="5"/>
    <x v="15"/>
    <x v="11"/>
    <x v="1"/>
  </r>
  <r>
    <x v="366"/>
    <s v="P5006"/>
    <n v="14"/>
    <x v="0"/>
    <x v="1"/>
    <n v="16"/>
    <n v="26.4"/>
    <n v="224"/>
    <n v="369.59999999999997"/>
    <x v="6"/>
    <x v="16"/>
    <x v="0"/>
    <x v="1"/>
  </r>
  <r>
    <x v="367"/>
    <s v="P3008"/>
    <n v="10"/>
    <x v="1"/>
    <x v="0"/>
    <n v="44"/>
    <n v="48.4"/>
    <n v="440"/>
    <n v="484"/>
    <x v="7"/>
    <x v="17"/>
    <x v="0"/>
    <x v="1"/>
  </r>
  <r>
    <x v="368"/>
    <s v="P4001"/>
    <n v="16"/>
    <x v="0"/>
    <x v="1"/>
    <n v="124"/>
    <n v="163.68"/>
    <n v="1984"/>
    <n v="2618.88"/>
    <x v="8"/>
    <x v="18"/>
    <x v="0"/>
    <x v="1"/>
  </r>
  <r>
    <x v="369"/>
    <s v="P4004"/>
    <n v="14"/>
    <x v="0"/>
    <x v="1"/>
    <n v="10"/>
    <n v="11.3"/>
    <n v="140"/>
    <n v="158.20000000000002"/>
    <x v="9"/>
    <x v="19"/>
    <x v="0"/>
    <x v="1"/>
  </r>
  <r>
    <x v="370"/>
    <s v="P3003"/>
    <n v="17"/>
    <x v="1"/>
    <x v="0"/>
    <n v="123"/>
    <n v="140.22"/>
    <n v="2091"/>
    <n v="2383.7399999999998"/>
    <x v="10"/>
    <x v="20"/>
    <x v="0"/>
    <x v="2"/>
  </r>
  <r>
    <x v="371"/>
    <s v="P2002"/>
    <n v="10"/>
    <x v="2"/>
    <x v="1"/>
    <n v="12"/>
    <n v="13.44"/>
    <n v="120"/>
    <n v="134.4"/>
    <x v="11"/>
    <x v="21"/>
    <x v="0"/>
    <x v="2"/>
  </r>
  <r>
    <x v="372"/>
    <s v="P5009"/>
    <n v="8"/>
    <x v="2"/>
    <x v="1"/>
    <n v="136"/>
    <n v="183.6"/>
    <n v="1088"/>
    <n v="1468.8"/>
    <x v="12"/>
    <x v="22"/>
    <x v="0"/>
    <x v="2"/>
  </r>
  <r>
    <x v="373"/>
    <s v="P2002"/>
    <n v="12"/>
    <x v="1"/>
    <x v="0"/>
    <n v="12"/>
    <n v="13.44"/>
    <n v="144"/>
    <n v="161.28"/>
    <x v="13"/>
    <x v="23"/>
    <x v="0"/>
    <x v="2"/>
  </r>
  <r>
    <x v="374"/>
    <s v="P5007"/>
    <n v="4"/>
    <x v="0"/>
    <x v="1"/>
    <n v="10"/>
    <n v="11.2"/>
    <n v="40"/>
    <n v="44.8"/>
    <x v="14"/>
    <x v="24"/>
    <x v="0"/>
    <x v="2"/>
  </r>
  <r>
    <x v="375"/>
    <s v="P1008"/>
    <n v="8"/>
    <x v="0"/>
    <x v="0"/>
    <n v="16"/>
    <n v="17.600000000000001"/>
    <n v="128"/>
    <n v="140.80000000000001"/>
    <x v="15"/>
    <x v="25"/>
    <x v="0"/>
    <x v="2"/>
  </r>
  <r>
    <x v="376"/>
    <s v="P4010"/>
    <n v="4"/>
    <x v="1"/>
    <x v="1"/>
    <n v="105"/>
    <n v="153.30000000000001"/>
    <n v="420"/>
    <n v="613.20000000000005"/>
    <x v="16"/>
    <x v="26"/>
    <x v="0"/>
    <x v="2"/>
  </r>
  <r>
    <x v="377"/>
    <s v="P1005"/>
    <n v="19"/>
    <x v="0"/>
    <x v="0"/>
    <n v="133"/>
    <n v="187.53"/>
    <n v="2527"/>
    <n v="3563.07"/>
    <x v="17"/>
    <x v="27"/>
    <x v="0"/>
    <x v="2"/>
  </r>
  <r>
    <x v="378"/>
    <s v="P3001"/>
    <n v="3"/>
    <x v="0"/>
    <x v="1"/>
    <n v="16"/>
    <n v="21.12"/>
    <n v="48"/>
    <n v="63.36"/>
    <x v="18"/>
    <x v="28"/>
    <x v="0"/>
    <x v="2"/>
  </r>
  <r>
    <x v="379"/>
    <s v="P4001"/>
    <n v="14"/>
    <x v="1"/>
    <x v="1"/>
    <n v="124"/>
    <n v="163.68"/>
    <n v="1736"/>
    <n v="2291.52"/>
    <x v="19"/>
    <x v="29"/>
    <x v="0"/>
    <x v="2"/>
  </r>
  <r>
    <x v="380"/>
    <s v="P2004"/>
    <n v="2"/>
    <x v="2"/>
    <x v="0"/>
    <n v="98"/>
    <n v="110.74"/>
    <n v="196"/>
    <n v="221.48"/>
    <x v="20"/>
    <x v="30"/>
    <x v="0"/>
    <x v="3"/>
  </r>
  <r>
    <x v="381"/>
    <s v="P1008"/>
    <n v="7"/>
    <x v="2"/>
    <x v="1"/>
    <n v="16"/>
    <n v="17.600000000000001"/>
    <n v="112"/>
    <n v="123.20000000000002"/>
    <x v="21"/>
    <x v="31"/>
    <x v="0"/>
    <x v="3"/>
  </r>
  <r>
    <x v="382"/>
    <s v="P1003"/>
    <n v="4"/>
    <x v="1"/>
    <x v="1"/>
    <n v="44"/>
    <n v="50.16"/>
    <n v="176"/>
    <n v="200.64"/>
    <x v="22"/>
    <x v="32"/>
    <x v="0"/>
    <x v="3"/>
  </r>
  <r>
    <x v="383"/>
    <s v="P3004"/>
    <n v="10"/>
    <x v="0"/>
    <x v="0"/>
    <n v="136"/>
    <n v="153.68"/>
    <n v="1360"/>
    <n v="1536.8000000000002"/>
    <x v="0"/>
    <x v="33"/>
    <x v="0"/>
    <x v="3"/>
  </r>
  <r>
    <x v="384"/>
    <s v="P5001"/>
    <n v="2"/>
    <x v="1"/>
    <x v="1"/>
    <n v="44"/>
    <n v="58.08"/>
    <n v="88"/>
    <n v="116.16"/>
    <x v="1"/>
    <x v="34"/>
    <x v="0"/>
    <x v="3"/>
  </r>
  <r>
    <x v="385"/>
    <s v="P3003"/>
    <n v="2"/>
    <x v="2"/>
    <x v="1"/>
    <n v="123"/>
    <n v="140.22"/>
    <n v="246"/>
    <n v="280.44"/>
    <x v="2"/>
    <x v="35"/>
    <x v="0"/>
    <x v="3"/>
  </r>
  <r>
    <x v="386"/>
    <s v="P5010"/>
    <n v="11"/>
    <x v="2"/>
    <x v="0"/>
    <n v="12"/>
    <n v="17.52"/>
    <n v="132"/>
    <n v="192.72"/>
    <x v="3"/>
    <x v="36"/>
    <x v="0"/>
    <x v="3"/>
  </r>
  <r>
    <x v="387"/>
    <s v="P5001"/>
    <n v="18"/>
    <x v="1"/>
    <x v="1"/>
    <n v="44"/>
    <n v="58.08"/>
    <n v="792"/>
    <n v="1045.44"/>
    <x v="4"/>
    <x v="37"/>
    <x v="0"/>
    <x v="3"/>
  </r>
  <r>
    <x v="388"/>
    <s v="P1007"/>
    <n v="10"/>
    <x v="0"/>
    <x v="0"/>
    <n v="10"/>
    <n v="11.2"/>
    <n v="100"/>
    <n v="112"/>
    <x v="5"/>
    <x v="38"/>
    <x v="0"/>
    <x v="3"/>
  </r>
  <r>
    <x v="389"/>
    <s v="P5006"/>
    <n v="14"/>
    <x v="0"/>
    <x v="1"/>
    <n v="16"/>
    <n v="26.4"/>
    <n v="224"/>
    <n v="369.59999999999997"/>
    <x v="6"/>
    <x v="39"/>
    <x v="0"/>
    <x v="3"/>
  </r>
  <r>
    <x v="390"/>
    <s v="P3008"/>
    <n v="10"/>
    <x v="1"/>
    <x v="0"/>
    <n v="44"/>
    <n v="48.4"/>
    <n v="440"/>
    <n v="484"/>
    <x v="7"/>
    <x v="40"/>
    <x v="0"/>
    <x v="4"/>
  </r>
  <r>
    <x v="391"/>
    <s v="P4001"/>
    <n v="16"/>
    <x v="0"/>
    <x v="1"/>
    <n v="124"/>
    <n v="163.68"/>
    <n v="1984"/>
    <n v="2618.88"/>
    <x v="8"/>
    <x v="41"/>
    <x v="0"/>
    <x v="4"/>
  </r>
  <r>
    <x v="392"/>
    <s v="P4004"/>
    <n v="14"/>
    <x v="0"/>
    <x v="1"/>
    <n v="10"/>
    <n v="11.3"/>
    <n v="140"/>
    <n v="158.20000000000002"/>
    <x v="9"/>
    <x v="42"/>
    <x v="0"/>
    <x v="4"/>
  </r>
  <r>
    <x v="393"/>
    <s v="P3003"/>
    <n v="17"/>
    <x v="1"/>
    <x v="0"/>
    <n v="123"/>
    <n v="140.22"/>
    <n v="2091"/>
    <n v="2383.7399999999998"/>
    <x v="10"/>
    <x v="43"/>
    <x v="0"/>
    <x v="4"/>
  </r>
  <r>
    <x v="394"/>
    <s v="P2002"/>
    <n v="10"/>
    <x v="2"/>
    <x v="1"/>
    <n v="12"/>
    <n v="13.44"/>
    <n v="120"/>
    <n v="134.4"/>
    <x v="11"/>
    <x v="44"/>
    <x v="0"/>
    <x v="4"/>
  </r>
  <r>
    <x v="395"/>
    <s v="P5009"/>
    <n v="8"/>
    <x v="2"/>
    <x v="1"/>
    <n v="136"/>
    <n v="183.6"/>
    <n v="1088"/>
    <n v="1468.8"/>
    <x v="12"/>
    <x v="45"/>
    <x v="0"/>
    <x v="4"/>
  </r>
  <r>
    <x v="396"/>
    <s v="P2002"/>
    <n v="12"/>
    <x v="1"/>
    <x v="0"/>
    <n v="12"/>
    <n v="13.44"/>
    <n v="144"/>
    <n v="161.28"/>
    <x v="13"/>
    <x v="46"/>
    <x v="0"/>
    <x v="4"/>
  </r>
  <r>
    <x v="397"/>
    <s v="P5007"/>
    <n v="4"/>
    <x v="0"/>
    <x v="1"/>
    <n v="10"/>
    <n v="11.2"/>
    <n v="40"/>
    <n v="44.8"/>
    <x v="14"/>
    <x v="47"/>
    <x v="1"/>
    <x v="4"/>
  </r>
  <r>
    <x v="398"/>
    <s v="P1008"/>
    <n v="8"/>
    <x v="0"/>
    <x v="0"/>
    <n v="16"/>
    <n v="17.600000000000001"/>
    <n v="128"/>
    <n v="140.80000000000001"/>
    <x v="15"/>
    <x v="48"/>
    <x v="1"/>
    <x v="4"/>
  </r>
  <r>
    <x v="399"/>
    <s v="P4010"/>
    <n v="4"/>
    <x v="1"/>
    <x v="1"/>
    <n v="105"/>
    <n v="153.30000000000001"/>
    <n v="420"/>
    <n v="613.20000000000005"/>
    <x v="16"/>
    <x v="49"/>
    <x v="1"/>
    <x v="4"/>
  </r>
  <r>
    <x v="400"/>
    <s v="P1005"/>
    <n v="19"/>
    <x v="0"/>
    <x v="0"/>
    <n v="133"/>
    <n v="187.53"/>
    <n v="2527"/>
    <n v="3563.07"/>
    <x v="17"/>
    <x v="0"/>
    <x v="1"/>
    <x v="0"/>
  </r>
  <r>
    <x v="401"/>
    <s v="P3001"/>
    <n v="3"/>
    <x v="0"/>
    <x v="1"/>
    <n v="16"/>
    <n v="21.12"/>
    <n v="48"/>
    <n v="63.36"/>
    <x v="18"/>
    <x v="1"/>
    <x v="1"/>
    <x v="0"/>
  </r>
  <r>
    <x v="402"/>
    <s v="P4001"/>
    <n v="14"/>
    <x v="1"/>
    <x v="1"/>
    <n v="124"/>
    <n v="163.68"/>
    <n v="1736"/>
    <n v="2291.52"/>
    <x v="19"/>
    <x v="2"/>
    <x v="1"/>
    <x v="0"/>
  </r>
  <r>
    <x v="403"/>
    <s v="P2004"/>
    <n v="2"/>
    <x v="2"/>
    <x v="0"/>
    <n v="98"/>
    <n v="110.74"/>
    <n v="196"/>
    <n v="221.48"/>
    <x v="20"/>
    <x v="3"/>
    <x v="1"/>
    <x v="0"/>
  </r>
  <r>
    <x v="404"/>
    <s v="P1008"/>
    <n v="7"/>
    <x v="2"/>
    <x v="1"/>
    <n v="16"/>
    <n v="17.600000000000001"/>
    <n v="112"/>
    <n v="123.20000000000002"/>
    <x v="21"/>
    <x v="4"/>
    <x v="1"/>
    <x v="0"/>
  </r>
  <r>
    <x v="405"/>
    <s v="P1003"/>
    <n v="4"/>
    <x v="1"/>
    <x v="1"/>
    <n v="44"/>
    <n v="50.16"/>
    <n v="176"/>
    <n v="200.64"/>
    <x v="22"/>
    <x v="5"/>
    <x v="1"/>
    <x v="0"/>
  </r>
  <r>
    <x v="406"/>
    <s v="P2008"/>
    <n v="20"/>
    <x v="0"/>
    <x v="0"/>
    <n v="133"/>
    <n v="146.30000000000001"/>
    <n v="2660"/>
    <n v="2926"/>
    <x v="23"/>
    <x v="6"/>
    <x v="1"/>
    <x v="0"/>
  </r>
  <r>
    <x v="407"/>
    <s v="P4005"/>
    <n v="15"/>
    <x v="0"/>
    <x v="1"/>
    <n v="123"/>
    <n v="173.43"/>
    <n v="1845"/>
    <n v="2601.4500000000003"/>
    <x v="24"/>
    <x v="7"/>
    <x v="1"/>
    <x v="0"/>
  </r>
  <r>
    <x v="408"/>
    <s v="P2006"/>
    <n v="2"/>
    <x v="1"/>
    <x v="0"/>
    <n v="44"/>
    <n v="72.599999999999994"/>
    <n v="88"/>
    <n v="145.19999999999999"/>
    <x v="25"/>
    <x v="8"/>
    <x v="1"/>
    <x v="0"/>
  </r>
  <r>
    <x v="409"/>
    <s v="P4001"/>
    <n v="9"/>
    <x v="0"/>
    <x v="1"/>
    <n v="124"/>
    <n v="163.68"/>
    <n v="1116"/>
    <n v="1473.1200000000001"/>
    <x v="26"/>
    <x v="9"/>
    <x v="1"/>
    <x v="0"/>
  </r>
  <r>
    <x v="410"/>
    <s v="P1002"/>
    <n v="6"/>
    <x v="0"/>
    <x v="0"/>
    <n v="105"/>
    <n v="117.6"/>
    <n v="630"/>
    <n v="705.59999999999991"/>
    <x v="27"/>
    <x v="10"/>
    <x v="1"/>
    <x v="1"/>
  </r>
  <r>
    <x v="411"/>
    <s v="P5009"/>
    <n v="8"/>
    <x v="1"/>
    <x v="1"/>
    <n v="136"/>
    <n v="183.6"/>
    <n v="1088"/>
    <n v="1468.8"/>
    <x v="12"/>
    <x v="11"/>
    <x v="1"/>
    <x v="1"/>
  </r>
  <r>
    <x v="412"/>
    <s v="P5001"/>
    <n v="12"/>
    <x v="2"/>
    <x v="1"/>
    <n v="44"/>
    <n v="58.08"/>
    <n v="528"/>
    <n v="696.96"/>
    <x v="28"/>
    <x v="12"/>
    <x v="1"/>
    <x v="1"/>
  </r>
  <r>
    <x v="413"/>
    <s v="P3007"/>
    <n v="13"/>
    <x v="2"/>
    <x v="0"/>
    <n v="105"/>
    <n v="117.6"/>
    <n v="1365"/>
    <n v="1528.8"/>
    <x v="29"/>
    <x v="13"/>
    <x v="1"/>
    <x v="1"/>
  </r>
  <r>
    <x v="414"/>
    <s v="P3009"/>
    <n v="14"/>
    <x v="1"/>
    <x v="1"/>
    <n v="71"/>
    <n v="95.85"/>
    <n v="994"/>
    <n v="1341.8999999999999"/>
    <x v="30"/>
    <x v="14"/>
    <x v="1"/>
    <x v="1"/>
  </r>
  <r>
    <x v="415"/>
    <s v="P1006"/>
    <n v="2"/>
    <x v="0"/>
    <x v="1"/>
    <n v="124"/>
    <n v="204.60000000000002"/>
    <n v="248"/>
    <n v="409.20000000000005"/>
    <x v="31"/>
    <x v="15"/>
    <x v="1"/>
    <x v="1"/>
  </r>
  <r>
    <x v="416"/>
    <s v="P4003"/>
    <n v="19"/>
    <x v="0"/>
    <x v="0"/>
    <n v="16"/>
    <n v="18.240000000000002"/>
    <n v="304"/>
    <n v="346.56000000000006"/>
    <x v="32"/>
    <x v="16"/>
    <x v="1"/>
    <x v="1"/>
  </r>
  <r>
    <x v="417"/>
    <s v="P2010"/>
    <n v="19"/>
    <x v="1"/>
    <x v="1"/>
    <n v="10"/>
    <n v="14.600000000000001"/>
    <n v="190"/>
    <n v="277.40000000000003"/>
    <x v="33"/>
    <x v="17"/>
    <x v="1"/>
    <x v="1"/>
  </r>
  <r>
    <x v="418"/>
    <s v="P1006"/>
    <n v="7"/>
    <x v="0"/>
    <x v="0"/>
    <n v="124"/>
    <n v="204.60000000000002"/>
    <n v="868"/>
    <n v="1432.2000000000003"/>
    <x v="34"/>
    <x v="18"/>
    <x v="1"/>
    <x v="1"/>
  </r>
  <r>
    <x v="419"/>
    <s v="P5006"/>
    <n v="14"/>
    <x v="0"/>
    <x v="1"/>
    <n v="16"/>
    <n v="26.4"/>
    <n v="224"/>
    <n v="369.59999999999997"/>
    <x v="6"/>
    <x v="19"/>
    <x v="1"/>
    <x v="1"/>
  </r>
  <r>
    <x v="420"/>
    <s v="P2006"/>
    <n v="7"/>
    <x v="1"/>
    <x v="0"/>
    <n v="44"/>
    <n v="72.599999999999994"/>
    <n v="308"/>
    <n v="508.19999999999993"/>
    <x v="35"/>
    <x v="20"/>
    <x v="1"/>
    <x v="2"/>
  </r>
  <r>
    <x v="421"/>
    <s v="P3010"/>
    <n v="10"/>
    <x v="2"/>
    <x v="1"/>
    <n v="133"/>
    <n v="194.18"/>
    <n v="1330"/>
    <n v="1941.8000000000002"/>
    <x v="36"/>
    <x v="21"/>
    <x v="1"/>
    <x v="2"/>
  </r>
  <r>
    <x v="422"/>
    <s v="P2010"/>
    <n v="18"/>
    <x v="2"/>
    <x v="1"/>
    <n v="10"/>
    <n v="14.600000000000001"/>
    <n v="180"/>
    <n v="262.8"/>
    <x v="37"/>
    <x v="22"/>
    <x v="1"/>
    <x v="2"/>
  </r>
  <r>
    <x v="423"/>
    <s v="P2008"/>
    <n v="13"/>
    <x v="1"/>
    <x v="0"/>
    <n v="133"/>
    <n v="146.30000000000001"/>
    <n v="1729"/>
    <n v="1901.9"/>
    <x v="38"/>
    <x v="23"/>
    <x v="1"/>
    <x v="2"/>
  </r>
  <r>
    <x v="424"/>
    <s v="P5004"/>
    <n v="12"/>
    <x v="0"/>
    <x v="1"/>
    <n v="124"/>
    <n v="140.12"/>
    <n v="1488"/>
    <n v="1681.44"/>
    <x v="39"/>
    <x v="24"/>
    <x v="1"/>
    <x v="2"/>
  </r>
  <r>
    <x v="425"/>
    <s v="P1010"/>
    <n v="5"/>
    <x v="0"/>
    <x v="1"/>
    <n v="123"/>
    <n v="179.58"/>
    <n v="615"/>
    <n v="897.90000000000009"/>
    <x v="40"/>
    <x v="25"/>
    <x v="2"/>
    <x v="2"/>
  </r>
  <r>
    <x v="426"/>
    <s v="P5004"/>
    <n v="9"/>
    <x v="1"/>
    <x v="0"/>
    <n v="124"/>
    <n v="140.12"/>
    <n v="1116"/>
    <n v="1261.08"/>
    <x v="41"/>
    <x v="26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98A33B-69B2-43ED-86E4-56224F53BEEC}" name="Quantity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A3:AB7" firstHeaderRow="1" firstDataRow="1" firstDataCol="1"/>
  <pivotFields count="13">
    <pivotField numFmtId="14"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TY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BD421-BFB6-4AFA-8A62-F2D34CB41F83}" name="PivotTable7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W3:X7" firstHeaderRow="1" firstDataRow="1" firstDataCol="1"/>
  <pivotFields count="13">
    <pivotField numFmtId="14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ELLING VAL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2F1E3-AC1E-41E2-85F3-D56FF5C20989}" name="PivotTable6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R3:S6" firstHeaderRow="1" firstDataRow="1" firstDataCol="1"/>
  <pivotFields count="13">
    <pivotField numFmtId="14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ELLING VAL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D3F85-CEF8-46AB-8D8D-0A52131B96BB}" name="profits" cacheId="24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1">
  <location ref="K3:M16" firstHeaderRow="0" firstDataRow="1" firstDataCol="1"/>
  <pivotFields count="13">
    <pivotField numFmtId="14" showAll="0">
      <items count="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292">
        <item x="127"/>
        <item x="232"/>
        <item x="206"/>
        <item x="219"/>
        <item x="186"/>
        <item x="42"/>
        <item x="14"/>
        <item x="248"/>
        <item x="89"/>
        <item x="140"/>
        <item x="256"/>
        <item x="258"/>
        <item x="207"/>
        <item x="151"/>
        <item x="147"/>
        <item x="214"/>
        <item x="46"/>
        <item x="93"/>
        <item x="124"/>
        <item x="144"/>
        <item x="21"/>
        <item x="5"/>
        <item x="55"/>
        <item x="107"/>
        <item x="150"/>
        <item x="15"/>
        <item x="180"/>
        <item x="221"/>
        <item x="253"/>
        <item x="174"/>
        <item x="11"/>
        <item x="18"/>
        <item x="83"/>
        <item x="43"/>
        <item x="88"/>
        <item x="276"/>
        <item x="178"/>
        <item x="287"/>
        <item x="240"/>
        <item x="13"/>
        <item x="64"/>
        <item x="9"/>
        <item x="121"/>
        <item x="156"/>
        <item x="61"/>
        <item x="185"/>
        <item x="80"/>
        <item x="136"/>
        <item x="191"/>
        <item x="288"/>
        <item x="149"/>
        <item x="241"/>
        <item x="189"/>
        <item x="259"/>
        <item x="125"/>
        <item x="22"/>
        <item x="20"/>
        <item x="204"/>
        <item x="159"/>
        <item x="84"/>
        <item x="50"/>
        <item x="113"/>
        <item x="1"/>
        <item x="237"/>
        <item x="167"/>
        <item x="54"/>
        <item x="51"/>
        <item x="48"/>
        <item x="52"/>
        <item x="2"/>
        <item x="44"/>
        <item x="179"/>
        <item x="132"/>
        <item x="264"/>
        <item x="32"/>
        <item x="142"/>
        <item x="7"/>
        <item x="208"/>
        <item x="60"/>
        <item x="285"/>
        <item x="225"/>
        <item x="203"/>
        <item x="235"/>
        <item x="106"/>
        <item x="71"/>
        <item x="66"/>
        <item x="65"/>
        <item x="102"/>
        <item x="245"/>
        <item x="78"/>
        <item x="143"/>
        <item x="286"/>
        <item x="25"/>
        <item x="226"/>
        <item x="62"/>
        <item x="134"/>
        <item x="3"/>
        <item x="282"/>
        <item x="271"/>
        <item x="118"/>
        <item x="274"/>
        <item x="215"/>
        <item x="227"/>
        <item x="117"/>
        <item x="267"/>
        <item x="278"/>
        <item x="172"/>
        <item x="94"/>
        <item x="246"/>
        <item x="128"/>
        <item x="27"/>
        <item x="68"/>
        <item x="120"/>
        <item x="182"/>
        <item x="112"/>
        <item x="158"/>
        <item x="37"/>
        <item x="73"/>
        <item x="170"/>
        <item x="95"/>
        <item x="250"/>
        <item x="111"/>
        <item x="33"/>
        <item x="114"/>
        <item x="199"/>
        <item x="115"/>
        <item x="280"/>
        <item x="210"/>
        <item x="75"/>
        <item x="272"/>
        <item x="243"/>
        <item x="268"/>
        <item x="104"/>
        <item x="198"/>
        <item x="98"/>
        <item x="110"/>
        <item x="99"/>
        <item x="122"/>
        <item x="244"/>
        <item x="166"/>
        <item x="233"/>
        <item x="254"/>
        <item x="196"/>
        <item x="101"/>
        <item x="229"/>
        <item x="216"/>
        <item x="53"/>
        <item x="49"/>
        <item x="91"/>
        <item x="123"/>
        <item x="77"/>
        <item x="139"/>
        <item x="230"/>
        <item x="85"/>
        <item x="97"/>
        <item x="171"/>
        <item x="165"/>
        <item x="41"/>
        <item x="6"/>
        <item x="201"/>
        <item x="242"/>
        <item x="200"/>
        <item x="31"/>
        <item x="29"/>
        <item x="238"/>
        <item x="131"/>
        <item x="28"/>
        <item x="281"/>
        <item x="184"/>
        <item x="105"/>
        <item x="38"/>
        <item x="190"/>
        <item x="273"/>
        <item x="0"/>
        <item x="202"/>
        <item x="108"/>
        <item x="45"/>
        <item x="255"/>
        <item x="16"/>
        <item x="39"/>
        <item x="252"/>
        <item x="35"/>
        <item x="160"/>
        <item x="277"/>
        <item x="275"/>
        <item x="133"/>
        <item x="126"/>
        <item x="130"/>
        <item x="82"/>
        <item x="212"/>
        <item x="197"/>
        <item x="262"/>
        <item x="251"/>
        <item x="194"/>
        <item x="269"/>
        <item x="188"/>
        <item x="162"/>
        <item x="181"/>
        <item x="47"/>
        <item x="4"/>
        <item x="187"/>
        <item x="69"/>
        <item x="23"/>
        <item x="157"/>
        <item x="137"/>
        <item x="40"/>
        <item x="10"/>
        <item x="195"/>
        <item x="164"/>
        <item x="234"/>
        <item x="109"/>
        <item x="266"/>
        <item x="270"/>
        <item x="265"/>
        <item x="67"/>
        <item x="284"/>
        <item x="90"/>
        <item x="57"/>
        <item x="176"/>
        <item x="289"/>
        <item x="30"/>
        <item x="100"/>
        <item x="26"/>
        <item x="279"/>
        <item x="116"/>
        <item x="86"/>
        <item x="12"/>
        <item x="148"/>
        <item x="96"/>
        <item x="161"/>
        <item x="63"/>
        <item x="92"/>
        <item x="169"/>
        <item x="154"/>
        <item x="155"/>
        <item x="79"/>
        <item x="290"/>
        <item x="261"/>
        <item x="87"/>
        <item x="135"/>
        <item x="260"/>
        <item x="211"/>
        <item x="56"/>
        <item x="249"/>
        <item x="76"/>
        <item x="103"/>
        <item x="257"/>
        <item x="175"/>
        <item x="218"/>
        <item x="19"/>
        <item x="81"/>
        <item x="34"/>
        <item x="239"/>
        <item x="173"/>
        <item x="119"/>
        <item x="74"/>
        <item x="36"/>
        <item x="129"/>
        <item x="224"/>
        <item x="146"/>
        <item x="8"/>
        <item x="72"/>
        <item x="236"/>
        <item x="183"/>
        <item x="138"/>
        <item x="168"/>
        <item x="220"/>
        <item x="152"/>
        <item x="24"/>
        <item x="192"/>
        <item x="263"/>
        <item x="59"/>
        <item x="217"/>
        <item x="58"/>
        <item x="223"/>
        <item x="283"/>
        <item x="177"/>
        <item x="231"/>
        <item x="163"/>
        <item x="213"/>
        <item x="222"/>
        <item x="70"/>
        <item x="193"/>
        <item x="17"/>
        <item x="228"/>
        <item x="141"/>
        <item x="145"/>
        <item x="153"/>
        <item x="247"/>
        <item x="205"/>
        <item x="209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ELLING VALUE" fld="8" baseField="0" baseItem="0"/>
    <dataField name="Sum of PROFIT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2" name="DATE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CA384-F8BB-44BD-A115-8035C8F0B5B7}" name="revenue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G3:H16" firstHeaderRow="1" firstDataRow="1" firstDataCol="1"/>
  <pivotFields count="13"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ELLING VAL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DDE73-8FDA-4419-85EC-D848FA7C8992}" name="Category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D3:E9" firstHeaderRow="1" firstDataRow="1" firstDataCol="1"/>
  <pivotFields count="13"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ELLING VAL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900F0-5315-4A04-8B2C-A51860998246}" name="Top 10 product" cacheId="2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4" firstHeaderRow="1" firstDataRow="1" firstDataCol="1"/>
  <pivotFields count="13"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 measureFilter="1">
      <items count="51">
        <item x="18"/>
        <item x="46"/>
        <item x="27"/>
        <item x="10"/>
        <item x="1"/>
        <item x="6"/>
        <item x="34"/>
        <item x="0"/>
        <item x="47"/>
        <item x="38"/>
        <item x="15"/>
        <item x="4"/>
        <item x="24"/>
        <item x="32"/>
        <item x="7"/>
        <item x="9"/>
        <item x="26"/>
        <item x="42"/>
        <item x="25"/>
        <item x="2"/>
        <item x="33"/>
        <item x="20"/>
        <item x="14"/>
        <item x="23"/>
        <item x="22"/>
        <item x="16"/>
        <item x="3"/>
        <item x="39"/>
        <item x="43"/>
        <item x="5"/>
        <item x="19"/>
        <item x="11"/>
        <item x="48"/>
        <item x="37"/>
        <item x="17"/>
        <item x="12"/>
        <item x="35"/>
        <item x="36"/>
        <item x="45"/>
        <item x="41"/>
        <item x="44"/>
        <item x="21"/>
        <item x="30"/>
        <item x="29"/>
        <item x="13"/>
        <item x="8"/>
        <item x="31"/>
        <item x="49"/>
        <item x="40"/>
        <item x="28"/>
        <item t="default"/>
      </items>
    </pivotField>
    <pivotField showAll="0"/>
    <pivotField showAll="0"/>
  </pivotFields>
  <rowFields count="1">
    <field x="10"/>
  </rowFields>
  <rowItems count="11">
    <i>
      <x v="3"/>
    </i>
    <i>
      <x v="7"/>
    </i>
    <i>
      <x v="22"/>
    </i>
    <i>
      <x v="23"/>
    </i>
    <i>
      <x v="26"/>
    </i>
    <i>
      <x v="34"/>
    </i>
    <i>
      <x v="42"/>
    </i>
    <i>
      <x v="43"/>
    </i>
    <i>
      <x v="44"/>
    </i>
    <i>
      <x v="49"/>
    </i>
    <i t="grand">
      <x/>
    </i>
  </rowItems>
  <colItems count="1">
    <i/>
  </colItems>
  <dataFields count="1">
    <dataField name="Sum of SELLING VALUE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85F28759-412D-41F2-93E0-D57A3EA2603C}" sourceName="DATE">
  <pivotTables>
    <pivotTable tabId="9" name="profits"/>
  </pivotTables>
  <state minimalRefreshVersion="6" lastRefreshVersion="6" pivotCacheId="1792291310" filterType="dateBetween">
    <selection startDate="2024-01-01T00:00:00" endDate="2024-12-31T00:00:00"/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4AD69EC-2C84-417A-A529-E96C6B6E8EB9}" cache="NativeTimeline_DATE" caption="DATE" level="0" selectionLevel="0" scrollPosition="2024-01-01T00:00:00"/>
</timeline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F72B5-59C0-4415-A412-0EF985DCEFFC}">
  <dimension ref="A1:N51"/>
  <sheetViews>
    <sheetView workbookViewId="0">
      <selection activeCell="B18" sqref="B18"/>
    </sheetView>
  </sheetViews>
  <sheetFormatPr defaultRowHeight="14.5" x14ac:dyDescent="0.35"/>
  <cols>
    <col min="1" max="1" width="11.7265625" bestFit="1" customWidth="1"/>
    <col min="2" max="2" width="23" bestFit="1" customWidth="1"/>
    <col min="3" max="3" width="19" bestFit="1" customWidth="1"/>
    <col min="4" max="4" width="15.54296875" bestFit="1" customWidth="1"/>
    <col min="5" max="5" width="13.26953125" bestFit="1" customWidth="1"/>
    <col min="6" max="6" width="13.54296875" bestFit="1" customWidth="1"/>
    <col min="11" max="11" width="10.1796875" bestFit="1" customWidth="1"/>
    <col min="12" max="12" width="19.81640625" bestFit="1" customWidth="1"/>
    <col min="13" max="13" width="15.1796875" bestFit="1" customWidth="1"/>
    <col min="14" max="14" width="15.54296875" bestFit="1" customWidth="1"/>
  </cols>
  <sheetData>
    <row r="1" spans="1:1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4" x14ac:dyDescent="0.35">
      <c r="A2" s="3" t="s">
        <v>14</v>
      </c>
      <c r="B2" s="3" t="s">
        <v>15</v>
      </c>
      <c r="C2" s="3" t="s">
        <v>16</v>
      </c>
      <c r="D2" s="3" t="s">
        <v>17</v>
      </c>
      <c r="E2">
        <v>98</v>
      </c>
      <c r="F2">
        <v>129.36000000000001</v>
      </c>
    </row>
    <row r="3" spans="1:14" x14ac:dyDescent="0.35">
      <c r="A3" s="3" t="s">
        <v>18</v>
      </c>
      <c r="B3" s="3" t="s">
        <v>19</v>
      </c>
      <c r="C3" s="3" t="s">
        <v>16</v>
      </c>
      <c r="D3" s="3" t="s">
        <v>20</v>
      </c>
      <c r="E3">
        <v>105</v>
      </c>
      <c r="F3">
        <v>117.6</v>
      </c>
      <c r="K3" s="1"/>
      <c r="L3" s="1"/>
      <c r="M3" s="1"/>
      <c r="N3" s="1"/>
    </row>
    <row r="4" spans="1:14" x14ac:dyDescent="0.35">
      <c r="A4" s="3" t="s">
        <v>21</v>
      </c>
      <c r="B4" s="3" t="s">
        <v>22</v>
      </c>
      <c r="C4" s="3" t="s">
        <v>16</v>
      </c>
      <c r="D4" s="3" t="s">
        <v>23</v>
      </c>
      <c r="E4">
        <v>44</v>
      </c>
      <c r="F4">
        <v>50.16</v>
      </c>
      <c r="K4" s="2"/>
      <c r="L4" s="2"/>
      <c r="M4" s="2"/>
      <c r="N4" s="2"/>
    </row>
    <row r="5" spans="1:14" x14ac:dyDescent="0.35">
      <c r="A5" s="3" t="s">
        <v>24</v>
      </c>
      <c r="B5" s="3" t="s">
        <v>25</v>
      </c>
      <c r="C5" s="3" t="s">
        <v>16</v>
      </c>
      <c r="D5" s="3" t="s">
        <v>26</v>
      </c>
      <c r="E5">
        <v>71</v>
      </c>
      <c r="F5">
        <v>80.23</v>
      </c>
      <c r="K5" s="2"/>
      <c r="L5" s="2"/>
      <c r="M5" s="2"/>
      <c r="N5" s="2"/>
    </row>
    <row r="6" spans="1:14" x14ac:dyDescent="0.35">
      <c r="A6" s="3" t="s">
        <v>27</v>
      </c>
      <c r="B6" s="3" t="s">
        <v>28</v>
      </c>
      <c r="C6" s="3" t="s">
        <v>16</v>
      </c>
      <c r="D6" s="3" t="s">
        <v>29</v>
      </c>
      <c r="E6">
        <v>133</v>
      </c>
      <c r="F6">
        <v>187.53</v>
      </c>
      <c r="K6" s="2"/>
      <c r="L6" s="2"/>
      <c r="M6" s="2"/>
      <c r="N6" s="2"/>
    </row>
    <row r="7" spans="1:14" x14ac:dyDescent="0.35">
      <c r="A7" s="3" t="s">
        <v>30</v>
      </c>
      <c r="B7" s="3" t="s">
        <v>31</v>
      </c>
      <c r="C7" s="3" t="s">
        <v>16</v>
      </c>
      <c r="D7" s="3" t="s">
        <v>32</v>
      </c>
      <c r="E7">
        <v>124</v>
      </c>
      <c r="F7">
        <v>204.60000000000002</v>
      </c>
      <c r="K7" s="2"/>
      <c r="L7" s="2"/>
      <c r="M7" s="2"/>
      <c r="N7" s="2"/>
    </row>
    <row r="8" spans="1:14" x14ac:dyDescent="0.35">
      <c r="A8" s="3" t="s">
        <v>33</v>
      </c>
      <c r="B8" s="3" t="s">
        <v>34</v>
      </c>
      <c r="C8" s="3" t="s">
        <v>16</v>
      </c>
      <c r="D8" s="3" t="s">
        <v>35</v>
      </c>
      <c r="E8">
        <v>10</v>
      </c>
      <c r="F8">
        <v>11.2</v>
      </c>
      <c r="K8" s="2"/>
      <c r="L8" s="2"/>
      <c r="M8" s="2"/>
      <c r="N8" s="2"/>
    </row>
    <row r="9" spans="1:14" x14ac:dyDescent="0.35">
      <c r="A9" s="3" t="s">
        <v>36</v>
      </c>
      <c r="B9" s="3" t="s">
        <v>37</v>
      </c>
      <c r="C9" s="3" t="s">
        <v>16</v>
      </c>
      <c r="D9" s="3" t="s">
        <v>38</v>
      </c>
      <c r="E9">
        <v>16</v>
      </c>
      <c r="F9">
        <v>17.600000000000001</v>
      </c>
      <c r="K9" s="2"/>
      <c r="L9" s="2"/>
      <c r="M9" s="2"/>
      <c r="N9" s="2"/>
    </row>
    <row r="10" spans="1:14" x14ac:dyDescent="0.35">
      <c r="A10" s="3" t="s">
        <v>39</v>
      </c>
      <c r="B10" s="3" t="s">
        <v>40</v>
      </c>
      <c r="C10" s="3" t="s">
        <v>16</v>
      </c>
      <c r="D10" s="3" t="s">
        <v>41</v>
      </c>
      <c r="E10">
        <v>10</v>
      </c>
      <c r="F10">
        <v>13.5</v>
      </c>
      <c r="K10" s="2"/>
      <c r="L10" s="2"/>
      <c r="M10" s="2"/>
      <c r="N10" s="2"/>
    </row>
    <row r="11" spans="1:14" x14ac:dyDescent="0.35">
      <c r="A11" s="3" t="s">
        <v>42</v>
      </c>
      <c r="B11" s="3" t="s">
        <v>43</v>
      </c>
      <c r="C11" s="3" t="s">
        <v>16</v>
      </c>
      <c r="D11" s="3" t="s">
        <v>44</v>
      </c>
      <c r="E11">
        <v>123</v>
      </c>
      <c r="F11">
        <v>179.58</v>
      </c>
      <c r="K11" s="2"/>
      <c r="L11" s="2"/>
      <c r="M11" s="2"/>
      <c r="N11" s="2"/>
    </row>
    <row r="12" spans="1:14" x14ac:dyDescent="0.35">
      <c r="A12" s="3" t="s">
        <v>45</v>
      </c>
      <c r="B12" s="3" t="s">
        <v>46</v>
      </c>
      <c r="C12" s="3" t="s">
        <v>47</v>
      </c>
      <c r="D12" s="3" t="s">
        <v>48</v>
      </c>
      <c r="E12">
        <v>136</v>
      </c>
      <c r="F12">
        <v>179.52</v>
      </c>
      <c r="K12" s="2"/>
      <c r="L12" s="2"/>
      <c r="M12" s="2"/>
      <c r="N12" s="2"/>
    </row>
    <row r="13" spans="1:14" x14ac:dyDescent="0.35">
      <c r="A13" s="3" t="s">
        <v>49</v>
      </c>
      <c r="B13" s="3" t="s">
        <v>50</v>
      </c>
      <c r="C13" s="3" t="s">
        <v>47</v>
      </c>
      <c r="D13" s="3" t="s">
        <v>51</v>
      </c>
      <c r="E13">
        <v>12</v>
      </c>
      <c r="F13">
        <v>13.44</v>
      </c>
      <c r="K13" s="2"/>
      <c r="L13" s="2"/>
      <c r="M13" s="2"/>
      <c r="N13" s="2"/>
    </row>
    <row r="14" spans="1:14" x14ac:dyDescent="0.35">
      <c r="A14" s="3" t="s">
        <v>52</v>
      </c>
      <c r="B14" s="3" t="s">
        <v>53</v>
      </c>
      <c r="C14" s="3" t="s">
        <v>47</v>
      </c>
      <c r="D14" s="3" t="s">
        <v>54</v>
      </c>
      <c r="E14">
        <v>63</v>
      </c>
      <c r="F14">
        <v>71.819999999999993</v>
      </c>
    </row>
    <row r="15" spans="1:14" x14ac:dyDescent="0.35">
      <c r="A15" s="3" t="s">
        <v>55</v>
      </c>
      <c r="B15" s="3" t="s">
        <v>56</v>
      </c>
      <c r="C15" s="3" t="s">
        <v>47</v>
      </c>
      <c r="D15" s="3" t="s">
        <v>57</v>
      </c>
      <c r="E15">
        <v>98</v>
      </c>
      <c r="F15">
        <v>110.74</v>
      </c>
    </row>
    <row r="16" spans="1:14" x14ac:dyDescent="0.35">
      <c r="A16" s="3" t="s">
        <v>58</v>
      </c>
      <c r="B16" s="3" t="s">
        <v>59</v>
      </c>
      <c r="C16" s="3" t="s">
        <v>47</v>
      </c>
      <c r="D16" s="3" t="s">
        <v>60</v>
      </c>
      <c r="E16">
        <v>105</v>
      </c>
      <c r="F16">
        <v>148.05000000000001</v>
      </c>
    </row>
    <row r="17" spans="1:6" x14ac:dyDescent="0.35">
      <c r="A17" s="3" t="s">
        <v>61</v>
      </c>
      <c r="B17" s="3" t="s">
        <v>62</v>
      </c>
      <c r="C17" s="3" t="s">
        <v>47</v>
      </c>
      <c r="D17" s="3" t="s">
        <v>63</v>
      </c>
      <c r="E17">
        <v>44</v>
      </c>
      <c r="F17">
        <v>72.599999999999994</v>
      </c>
    </row>
    <row r="18" spans="1:6" x14ac:dyDescent="0.35">
      <c r="A18" s="3" t="s">
        <v>64</v>
      </c>
      <c r="B18" s="3" t="s">
        <v>65</v>
      </c>
      <c r="C18" s="3" t="s">
        <v>47</v>
      </c>
      <c r="D18" s="3" t="s">
        <v>66</v>
      </c>
      <c r="E18">
        <v>71</v>
      </c>
      <c r="F18">
        <v>79.52</v>
      </c>
    </row>
    <row r="19" spans="1:6" x14ac:dyDescent="0.35">
      <c r="A19" s="3" t="s">
        <v>67</v>
      </c>
      <c r="B19" s="3" t="s">
        <v>68</v>
      </c>
      <c r="C19" s="3" t="s">
        <v>47</v>
      </c>
      <c r="D19" s="3" t="s">
        <v>57</v>
      </c>
      <c r="E19">
        <v>133</v>
      </c>
      <c r="F19">
        <v>146.30000000000001</v>
      </c>
    </row>
    <row r="20" spans="1:6" x14ac:dyDescent="0.35">
      <c r="A20" s="3" t="s">
        <v>69</v>
      </c>
      <c r="B20" s="3" t="s">
        <v>70</v>
      </c>
      <c r="C20" s="3" t="s">
        <v>47</v>
      </c>
      <c r="D20" s="3" t="s">
        <v>23</v>
      </c>
      <c r="E20">
        <v>124</v>
      </c>
      <c r="F20">
        <v>167.4</v>
      </c>
    </row>
    <row r="21" spans="1:6" x14ac:dyDescent="0.35">
      <c r="A21" s="3" t="s">
        <v>71</v>
      </c>
      <c r="B21" s="3" t="s">
        <v>72</v>
      </c>
      <c r="C21" s="3" t="s">
        <v>47</v>
      </c>
      <c r="D21" s="3" t="s">
        <v>73</v>
      </c>
      <c r="E21">
        <v>10</v>
      </c>
      <c r="F21">
        <v>14.600000000000001</v>
      </c>
    </row>
    <row r="22" spans="1:6" x14ac:dyDescent="0.35">
      <c r="A22" s="3" t="s">
        <v>74</v>
      </c>
      <c r="B22" s="3" t="s">
        <v>75</v>
      </c>
      <c r="C22" s="3" t="s">
        <v>76</v>
      </c>
      <c r="D22" s="3" t="s">
        <v>77</v>
      </c>
      <c r="E22">
        <v>16</v>
      </c>
      <c r="F22">
        <v>21.12</v>
      </c>
    </row>
    <row r="23" spans="1:6" x14ac:dyDescent="0.35">
      <c r="A23" s="3" t="s">
        <v>78</v>
      </c>
      <c r="B23" s="3" t="s">
        <v>79</v>
      </c>
      <c r="C23" s="3" t="s">
        <v>76</v>
      </c>
      <c r="D23" s="3" t="s">
        <v>80</v>
      </c>
      <c r="E23">
        <v>10</v>
      </c>
      <c r="F23">
        <v>11.2</v>
      </c>
    </row>
    <row r="24" spans="1:6" x14ac:dyDescent="0.35">
      <c r="A24" s="3" t="s">
        <v>81</v>
      </c>
      <c r="B24" s="3" t="s">
        <v>82</v>
      </c>
      <c r="C24" s="3" t="s">
        <v>76</v>
      </c>
      <c r="D24" s="3" t="s">
        <v>83</v>
      </c>
      <c r="E24">
        <v>123</v>
      </c>
      <c r="F24">
        <v>140.22</v>
      </c>
    </row>
    <row r="25" spans="1:6" x14ac:dyDescent="0.35">
      <c r="A25" s="3" t="s">
        <v>84</v>
      </c>
      <c r="B25" s="3" t="s">
        <v>85</v>
      </c>
      <c r="C25" s="3" t="s">
        <v>76</v>
      </c>
      <c r="D25" s="3" t="s">
        <v>86</v>
      </c>
      <c r="E25">
        <v>136</v>
      </c>
      <c r="F25">
        <v>153.68</v>
      </c>
    </row>
    <row r="26" spans="1:6" x14ac:dyDescent="0.35">
      <c r="A26" s="3" t="s">
        <v>87</v>
      </c>
      <c r="B26" s="3" t="s">
        <v>88</v>
      </c>
      <c r="C26" s="3" t="s">
        <v>76</v>
      </c>
      <c r="D26" s="3" t="s">
        <v>89</v>
      </c>
      <c r="E26">
        <v>12</v>
      </c>
      <c r="F26">
        <v>16.920000000000002</v>
      </c>
    </row>
    <row r="27" spans="1:6" x14ac:dyDescent="0.35">
      <c r="A27" s="3" t="s">
        <v>90</v>
      </c>
      <c r="B27" s="3" t="s">
        <v>91</v>
      </c>
      <c r="C27" s="3" t="s">
        <v>76</v>
      </c>
      <c r="D27" s="3" t="s">
        <v>92</v>
      </c>
      <c r="E27">
        <v>98</v>
      </c>
      <c r="F27">
        <v>161.69999999999999</v>
      </c>
    </row>
    <row r="28" spans="1:6" x14ac:dyDescent="0.35">
      <c r="A28" s="3" t="s">
        <v>93</v>
      </c>
      <c r="B28" s="3" t="s">
        <v>94</v>
      </c>
      <c r="C28" s="3" t="s">
        <v>76</v>
      </c>
      <c r="D28" s="3" t="s">
        <v>95</v>
      </c>
      <c r="E28">
        <v>105</v>
      </c>
      <c r="F28">
        <v>117.6</v>
      </c>
    </row>
    <row r="29" spans="1:6" x14ac:dyDescent="0.35">
      <c r="A29" s="3" t="s">
        <v>96</v>
      </c>
      <c r="B29" s="3" t="s">
        <v>97</v>
      </c>
      <c r="C29" s="3" t="s">
        <v>76</v>
      </c>
      <c r="D29" s="3" t="s">
        <v>98</v>
      </c>
      <c r="E29">
        <v>44</v>
      </c>
      <c r="F29">
        <v>48.4</v>
      </c>
    </row>
    <row r="30" spans="1:6" x14ac:dyDescent="0.35">
      <c r="A30" s="3" t="s">
        <v>99</v>
      </c>
      <c r="B30" s="3" t="s">
        <v>100</v>
      </c>
      <c r="C30" s="3" t="s">
        <v>76</v>
      </c>
      <c r="D30" s="3" t="s">
        <v>101</v>
      </c>
      <c r="E30">
        <v>71</v>
      </c>
      <c r="F30">
        <v>95.85</v>
      </c>
    </row>
    <row r="31" spans="1:6" x14ac:dyDescent="0.35">
      <c r="A31" s="3" t="s">
        <v>102</v>
      </c>
      <c r="B31" s="3" t="s">
        <v>103</v>
      </c>
      <c r="C31" s="3" t="s">
        <v>76</v>
      </c>
      <c r="D31" s="3" t="s">
        <v>77</v>
      </c>
      <c r="E31">
        <v>133</v>
      </c>
      <c r="F31">
        <v>194.18</v>
      </c>
    </row>
    <row r="32" spans="1:6" x14ac:dyDescent="0.35">
      <c r="A32" s="3" t="s">
        <v>104</v>
      </c>
      <c r="B32" s="3" t="s">
        <v>105</v>
      </c>
      <c r="C32" s="3" t="s">
        <v>106</v>
      </c>
      <c r="D32" s="3" t="s">
        <v>107</v>
      </c>
      <c r="E32">
        <v>124</v>
      </c>
      <c r="F32">
        <v>163.68</v>
      </c>
    </row>
    <row r="33" spans="1:6" x14ac:dyDescent="0.35">
      <c r="A33" s="3" t="s">
        <v>108</v>
      </c>
      <c r="B33" s="3" t="s">
        <v>109</v>
      </c>
      <c r="C33" s="3" t="s">
        <v>106</v>
      </c>
      <c r="D33" s="3" t="s">
        <v>110</v>
      </c>
      <c r="E33">
        <v>10</v>
      </c>
      <c r="F33">
        <v>11.2</v>
      </c>
    </row>
    <row r="34" spans="1:6" x14ac:dyDescent="0.35">
      <c r="A34" s="3" t="s">
        <v>111</v>
      </c>
      <c r="B34" s="3" t="s">
        <v>112</v>
      </c>
      <c r="C34" s="3" t="s">
        <v>106</v>
      </c>
      <c r="D34" s="3" t="s">
        <v>51</v>
      </c>
      <c r="E34">
        <v>16</v>
      </c>
      <c r="F34">
        <v>18.240000000000002</v>
      </c>
    </row>
    <row r="35" spans="1:6" x14ac:dyDescent="0.35">
      <c r="A35" s="3" t="s">
        <v>113</v>
      </c>
      <c r="B35" s="3" t="s">
        <v>114</v>
      </c>
      <c r="C35" s="3" t="s">
        <v>106</v>
      </c>
      <c r="D35" s="3" t="s">
        <v>115</v>
      </c>
      <c r="E35">
        <v>10</v>
      </c>
      <c r="F35">
        <v>11.3</v>
      </c>
    </row>
    <row r="36" spans="1:6" x14ac:dyDescent="0.35">
      <c r="A36" s="3" t="s">
        <v>116</v>
      </c>
      <c r="B36" s="3" t="s">
        <v>117</v>
      </c>
      <c r="C36" s="3" t="s">
        <v>106</v>
      </c>
      <c r="D36" s="3" t="s">
        <v>118</v>
      </c>
      <c r="E36">
        <v>123</v>
      </c>
      <c r="F36">
        <v>173.43</v>
      </c>
    </row>
    <row r="37" spans="1:6" x14ac:dyDescent="0.35">
      <c r="A37" s="3" t="s">
        <v>119</v>
      </c>
      <c r="B37" s="3" t="s">
        <v>120</v>
      </c>
      <c r="C37" s="3" t="s">
        <v>106</v>
      </c>
      <c r="D37" s="3" t="s">
        <v>121</v>
      </c>
      <c r="E37">
        <v>136</v>
      </c>
      <c r="F37">
        <v>224.4</v>
      </c>
    </row>
    <row r="38" spans="1:6" x14ac:dyDescent="0.35">
      <c r="A38" s="3" t="s">
        <v>122</v>
      </c>
      <c r="B38" s="3" t="s">
        <v>123</v>
      </c>
      <c r="C38" s="3" t="s">
        <v>106</v>
      </c>
      <c r="D38" s="3" t="s">
        <v>124</v>
      </c>
      <c r="E38">
        <v>12</v>
      </c>
      <c r="F38">
        <v>13.44</v>
      </c>
    </row>
    <row r="39" spans="1:6" x14ac:dyDescent="0.35">
      <c r="A39" s="3" t="s">
        <v>125</v>
      </c>
      <c r="B39" s="3" t="s">
        <v>126</v>
      </c>
      <c r="C39" s="3" t="s">
        <v>106</v>
      </c>
      <c r="D39" s="3" t="s">
        <v>127</v>
      </c>
      <c r="E39">
        <v>63</v>
      </c>
      <c r="F39">
        <v>69.3</v>
      </c>
    </row>
    <row r="40" spans="1:6" x14ac:dyDescent="0.35">
      <c r="A40" s="3" t="s">
        <v>128</v>
      </c>
      <c r="B40" s="3" t="s">
        <v>129</v>
      </c>
      <c r="C40" s="3" t="s">
        <v>106</v>
      </c>
      <c r="D40" s="3" t="s">
        <v>130</v>
      </c>
      <c r="E40">
        <v>98</v>
      </c>
      <c r="F40">
        <v>132.30000000000001</v>
      </c>
    </row>
    <row r="41" spans="1:6" x14ac:dyDescent="0.35">
      <c r="A41" s="3" t="s">
        <v>131</v>
      </c>
      <c r="B41" s="3" t="s">
        <v>132</v>
      </c>
      <c r="C41" s="3" t="s">
        <v>106</v>
      </c>
      <c r="D41" s="3" t="s">
        <v>133</v>
      </c>
      <c r="E41">
        <v>105</v>
      </c>
      <c r="F41">
        <v>153.30000000000001</v>
      </c>
    </row>
    <row r="42" spans="1:6" x14ac:dyDescent="0.35">
      <c r="A42" s="3" t="s">
        <v>134</v>
      </c>
      <c r="B42" s="3" t="s">
        <v>135</v>
      </c>
      <c r="C42" s="3" t="s">
        <v>136</v>
      </c>
      <c r="D42" s="3" t="s">
        <v>137</v>
      </c>
      <c r="E42">
        <v>44</v>
      </c>
      <c r="F42">
        <v>58.08</v>
      </c>
    </row>
    <row r="43" spans="1:6" x14ac:dyDescent="0.35">
      <c r="A43" s="3" t="s">
        <v>138</v>
      </c>
      <c r="B43" s="3" t="s">
        <v>139</v>
      </c>
      <c r="C43" s="3" t="s">
        <v>136</v>
      </c>
      <c r="D43" s="3" t="s">
        <v>140</v>
      </c>
      <c r="E43">
        <v>71</v>
      </c>
      <c r="F43">
        <v>79.52</v>
      </c>
    </row>
    <row r="44" spans="1:6" x14ac:dyDescent="0.35">
      <c r="A44" s="3" t="s">
        <v>141</v>
      </c>
      <c r="B44" s="3" t="s">
        <v>142</v>
      </c>
      <c r="C44" s="3" t="s">
        <v>136</v>
      </c>
      <c r="D44" s="3" t="s">
        <v>143</v>
      </c>
      <c r="E44">
        <v>133</v>
      </c>
      <c r="F44">
        <v>151.62</v>
      </c>
    </row>
    <row r="45" spans="1:6" x14ac:dyDescent="0.35">
      <c r="A45" s="3" t="s">
        <v>144</v>
      </c>
      <c r="B45" s="3" t="s">
        <v>145</v>
      </c>
      <c r="C45" s="3" t="s">
        <v>136</v>
      </c>
      <c r="D45" s="3" t="s">
        <v>146</v>
      </c>
      <c r="E45">
        <v>124</v>
      </c>
      <c r="F45">
        <v>140.12</v>
      </c>
    </row>
    <row r="46" spans="1:6" x14ac:dyDescent="0.35">
      <c r="A46" s="3" t="s">
        <v>147</v>
      </c>
      <c r="B46" s="3" t="s">
        <v>148</v>
      </c>
      <c r="C46" s="3" t="s">
        <v>136</v>
      </c>
      <c r="D46" s="3" t="s">
        <v>149</v>
      </c>
      <c r="E46">
        <v>10</v>
      </c>
      <c r="F46">
        <v>14.100000000000001</v>
      </c>
    </row>
    <row r="47" spans="1:6" x14ac:dyDescent="0.35">
      <c r="A47" s="3" t="s">
        <v>150</v>
      </c>
      <c r="B47" s="3" t="s">
        <v>151</v>
      </c>
      <c r="C47" s="3" t="s">
        <v>136</v>
      </c>
      <c r="D47" s="3" t="s">
        <v>152</v>
      </c>
      <c r="E47">
        <v>16</v>
      </c>
      <c r="F47">
        <v>26.4</v>
      </c>
    </row>
    <row r="48" spans="1:6" x14ac:dyDescent="0.35">
      <c r="A48" s="3" t="s">
        <v>153</v>
      </c>
      <c r="B48" s="3" t="s">
        <v>154</v>
      </c>
      <c r="C48" s="3" t="s">
        <v>136</v>
      </c>
      <c r="D48" s="3" t="s">
        <v>155</v>
      </c>
      <c r="E48">
        <v>10</v>
      </c>
      <c r="F48">
        <v>11.2</v>
      </c>
    </row>
    <row r="49" spans="1:6" x14ac:dyDescent="0.35">
      <c r="A49" s="3" t="s">
        <v>156</v>
      </c>
      <c r="B49" s="3" t="s">
        <v>157</v>
      </c>
      <c r="C49" s="3" t="s">
        <v>136</v>
      </c>
      <c r="D49" s="3" t="s">
        <v>158</v>
      </c>
      <c r="E49">
        <v>123</v>
      </c>
      <c r="F49">
        <v>135.30000000000001</v>
      </c>
    </row>
    <row r="50" spans="1:6" x14ac:dyDescent="0.35">
      <c r="A50" s="3" t="s">
        <v>159</v>
      </c>
      <c r="B50" s="3" t="s">
        <v>160</v>
      </c>
      <c r="C50" s="3" t="s">
        <v>136</v>
      </c>
      <c r="D50" s="3" t="s">
        <v>161</v>
      </c>
      <c r="E50">
        <v>136</v>
      </c>
      <c r="F50">
        <v>183.6</v>
      </c>
    </row>
    <row r="51" spans="1:6" x14ac:dyDescent="0.35">
      <c r="A51" s="3" t="s">
        <v>162</v>
      </c>
      <c r="B51" s="3" t="s">
        <v>163</v>
      </c>
      <c r="C51" s="3" t="s">
        <v>136</v>
      </c>
      <c r="D51" s="3" t="s">
        <v>164</v>
      </c>
      <c r="E51">
        <v>12</v>
      </c>
      <c r="F51">
        <v>17.52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A8DF-9C43-48BA-8D3A-389F2E2C9064}">
  <dimension ref="A3:AB16"/>
  <sheetViews>
    <sheetView tabSelected="1" topLeftCell="R1" workbookViewId="0">
      <selection activeCell="AF6" sqref="AF6"/>
    </sheetView>
  </sheetViews>
  <sheetFormatPr defaultRowHeight="14.5" x14ac:dyDescent="0.35"/>
  <cols>
    <col min="1" max="1" width="20.26953125" bestFit="1" customWidth="1"/>
    <col min="2" max="2" width="19.81640625" bestFit="1" customWidth="1"/>
    <col min="4" max="4" width="17.54296875" bestFit="1" customWidth="1"/>
    <col min="5" max="5" width="19.81640625" bestFit="1" customWidth="1"/>
    <col min="6" max="6" width="11" customWidth="1"/>
    <col min="7" max="7" width="12.36328125" bestFit="1" customWidth="1"/>
    <col min="8" max="8" width="19.81640625" bestFit="1" customWidth="1"/>
    <col min="9" max="10" width="3.81640625" bestFit="1" customWidth="1"/>
    <col min="11" max="11" width="12.36328125" bestFit="1" customWidth="1"/>
    <col min="12" max="12" width="19.81640625" bestFit="1" customWidth="1"/>
    <col min="13" max="13" width="13.1796875" bestFit="1" customWidth="1"/>
    <col min="14" max="16" width="3.81640625" bestFit="1" customWidth="1"/>
    <col min="17" max="17" width="4.81640625" bestFit="1" customWidth="1"/>
    <col min="18" max="18" width="12.36328125" bestFit="1" customWidth="1"/>
    <col min="19" max="19" width="19.81640625" bestFit="1" customWidth="1"/>
    <col min="20" max="21" width="3.81640625" bestFit="1" customWidth="1"/>
    <col min="22" max="22" width="4.81640625" bestFit="1" customWidth="1"/>
    <col min="23" max="23" width="12.36328125" bestFit="1" customWidth="1"/>
    <col min="24" max="24" width="19.81640625" bestFit="1" customWidth="1"/>
    <col min="25" max="25" width="4.81640625" bestFit="1" customWidth="1"/>
    <col min="26" max="26" width="3.81640625" bestFit="1" customWidth="1"/>
    <col min="27" max="27" width="12.36328125" bestFit="1" customWidth="1"/>
    <col min="28" max="28" width="10.453125" bestFit="1" customWidth="1"/>
    <col min="29" max="29" width="5.81640625" bestFit="1" customWidth="1"/>
    <col min="30" max="30" width="4.81640625" bestFit="1" customWidth="1"/>
    <col min="31" max="31" width="5.81640625" bestFit="1" customWidth="1"/>
    <col min="32" max="35" width="4.81640625" bestFit="1" customWidth="1"/>
    <col min="36" max="36" width="5.81640625" bestFit="1" customWidth="1"/>
    <col min="37" max="38" width="4.81640625" bestFit="1" customWidth="1"/>
    <col min="39" max="40" width="5.81640625" bestFit="1" customWidth="1"/>
    <col min="41" max="41" width="3.81640625" bestFit="1" customWidth="1"/>
    <col min="42" max="42" width="4.81640625" bestFit="1" customWidth="1"/>
    <col min="43" max="45" width="5.81640625" bestFit="1" customWidth="1"/>
    <col min="46" max="46" width="4.81640625" bestFit="1" customWidth="1"/>
    <col min="47" max="48" width="5.81640625" bestFit="1" customWidth="1"/>
    <col min="49" max="50" width="4.81640625" bestFit="1" customWidth="1"/>
    <col min="51" max="52" width="5.81640625" bestFit="1" customWidth="1"/>
    <col min="53" max="55" width="4.81640625" bestFit="1" customWidth="1"/>
    <col min="56" max="56" width="3.81640625" bestFit="1" customWidth="1"/>
    <col min="57" max="57" width="5.81640625" bestFit="1" customWidth="1"/>
    <col min="58" max="58" width="4.81640625" bestFit="1" customWidth="1"/>
    <col min="59" max="59" width="3.81640625" bestFit="1" customWidth="1"/>
    <col min="60" max="61" width="5.81640625" bestFit="1" customWidth="1"/>
    <col min="62" max="62" width="4.81640625" bestFit="1" customWidth="1"/>
    <col min="63" max="64" width="5.81640625" bestFit="1" customWidth="1"/>
    <col min="65" max="65" width="4.81640625" bestFit="1" customWidth="1"/>
    <col min="66" max="66" width="2.81640625" bestFit="1" customWidth="1"/>
    <col min="67" max="67" width="5.81640625" bestFit="1" customWidth="1"/>
    <col min="68" max="68" width="4.81640625" bestFit="1" customWidth="1"/>
    <col min="69" max="70" width="5.81640625" bestFit="1" customWidth="1"/>
    <col min="71" max="71" width="4.81640625" bestFit="1" customWidth="1"/>
    <col min="72" max="72" width="3.81640625" bestFit="1" customWidth="1"/>
    <col min="73" max="73" width="4.81640625" bestFit="1" customWidth="1"/>
    <col min="74" max="75" width="5.81640625" bestFit="1" customWidth="1"/>
    <col min="76" max="76" width="4.81640625" bestFit="1" customWidth="1"/>
    <col min="77" max="77" width="5.81640625" bestFit="1" customWidth="1"/>
    <col min="78" max="78" width="4.81640625" bestFit="1" customWidth="1"/>
    <col min="79" max="79" width="5.81640625" bestFit="1" customWidth="1"/>
    <col min="80" max="81" width="4.81640625" bestFit="1" customWidth="1"/>
    <col min="82" max="82" width="5.81640625" bestFit="1" customWidth="1"/>
    <col min="83" max="83" width="4.81640625" bestFit="1" customWidth="1"/>
    <col min="84" max="85" width="5.81640625" bestFit="1" customWidth="1"/>
    <col min="86" max="86" width="3.81640625" bestFit="1" customWidth="1"/>
    <col min="87" max="87" width="4.81640625" bestFit="1" customWidth="1"/>
    <col min="88" max="88" width="5.81640625" bestFit="1" customWidth="1"/>
    <col min="89" max="89" width="4.81640625" bestFit="1" customWidth="1"/>
    <col min="90" max="91" width="5.81640625" bestFit="1" customWidth="1"/>
    <col min="92" max="92" width="4.81640625" bestFit="1" customWidth="1"/>
    <col min="93" max="93" width="5.81640625" bestFit="1" customWidth="1"/>
    <col min="94" max="94" width="4.81640625" bestFit="1" customWidth="1"/>
    <col min="95" max="96" width="5.81640625" bestFit="1" customWidth="1"/>
    <col min="97" max="97" width="4.81640625" bestFit="1" customWidth="1"/>
    <col min="98" max="98" width="5.81640625" bestFit="1" customWidth="1"/>
    <col min="99" max="99" width="4.81640625" bestFit="1" customWidth="1"/>
    <col min="100" max="101" width="5.81640625" bestFit="1" customWidth="1"/>
    <col min="102" max="102" width="4.81640625" bestFit="1" customWidth="1"/>
    <col min="103" max="103" width="3.81640625" bestFit="1" customWidth="1"/>
    <col min="104" max="106" width="5.81640625" bestFit="1" customWidth="1"/>
    <col min="107" max="107" width="4.81640625" bestFit="1" customWidth="1"/>
    <col min="108" max="108" width="5.81640625" bestFit="1" customWidth="1"/>
    <col min="109" max="110" width="4.81640625" bestFit="1" customWidth="1"/>
    <col min="111" max="111" width="5.81640625" bestFit="1" customWidth="1"/>
    <col min="112" max="113" width="4.81640625" bestFit="1" customWidth="1"/>
    <col min="114" max="114" width="5.81640625" bestFit="1" customWidth="1"/>
    <col min="115" max="115" width="4.81640625" bestFit="1" customWidth="1"/>
    <col min="116" max="116" width="5.81640625" bestFit="1" customWidth="1"/>
    <col min="117" max="117" width="4.81640625" bestFit="1" customWidth="1"/>
    <col min="118" max="118" width="5.81640625" bestFit="1" customWidth="1"/>
    <col min="119" max="119" width="4.81640625" bestFit="1" customWidth="1"/>
    <col min="120" max="120" width="3.81640625" bestFit="1" customWidth="1"/>
    <col min="121" max="121" width="4.81640625" bestFit="1" customWidth="1"/>
    <col min="122" max="123" width="5.81640625" bestFit="1" customWidth="1"/>
    <col min="124" max="125" width="4.81640625" bestFit="1" customWidth="1"/>
    <col min="126" max="126" width="5.81640625" bestFit="1" customWidth="1"/>
    <col min="127" max="127" width="4.81640625" bestFit="1" customWidth="1"/>
    <col min="128" max="128" width="3.81640625" bestFit="1" customWidth="1"/>
    <col min="129" max="130" width="5.81640625" bestFit="1" customWidth="1"/>
    <col min="131" max="132" width="4.81640625" bestFit="1" customWidth="1"/>
    <col min="133" max="133" width="5.81640625" bestFit="1" customWidth="1"/>
    <col min="134" max="134" width="4.81640625" bestFit="1" customWidth="1"/>
    <col min="135" max="135" width="5.81640625" bestFit="1" customWidth="1"/>
    <col min="136" max="136" width="4.81640625" bestFit="1" customWidth="1"/>
    <col min="137" max="137" width="6.81640625" bestFit="1" customWidth="1"/>
    <col min="138" max="138" width="3.81640625" bestFit="1" customWidth="1"/>
    <col min="139" max="141" width="6.81640625" bestFit="1" customWidth="1"/>
    <col min="142" max="143" width="5.81640625" bestFit="1" customWidth="1"/>
    <col min="144" max="145" width="6.81640625" bestFit="1" customWidth="1"/>
    <col min="146" max="146" width="5.81640625" bestFit="1" customWidth="1"/>
    <col min="147" max="147" width="6.81640625" bestFit="1" customWidth="1"/>
    <col min="148" max="148" width="4.81640625" bestFit="1" customWidth="1"/>
    <col min="149" max="149" width="5.81640625" bestFit="1" customWidth="1"/>
    <col min="150" max="151" width="6.81640625" bestFit="1" customWidth="1"/>
    <col min="152" max="152" width="5.81640625" bestFit="1" customWidth="1"/>
    <col min="153" max="153" width="6.81640625" bestFit="1" customWidth="1"/>
    <col min="154" max="155" width="5.81640625" bestFit="1" customWidth="1"/>
    <col min="156" max="156" width="6.81640625" bestFit="1" customWidth="1"/>
    <col min="157" max="157" width="5.81640625" bestFit="1" customWidth="1"/>
    <col min="158" max="158" width="6.81640625" bestFit="1" customWidth="1"/>
    <col min="159" max="159" width="5.81640625" bestFit="1" customWidth="1"/>
    <col min="160" max="160" width="3.81640625" bestFit="1" customWidth="1"/>
    <col min="161" max="162" width="6.81640625" bestFit="1" customWidth="1"/>
    <col min="163" max="163" width="5.81640625" bestFit="1" customWidth="1"/>
    <col min="164" max="166" width="6.81640625" bestFit="1" customWidth="1"/>
    <col min="167" max="168" width="5.81640625" bestFit="1" customWidth="1"/>
    <col min="169" max="171" width="6.81640625" bestFit="1" customWidth="1"/>
    <col min="172" max="175" width="5.81640625" bestFit="1" customWidth="1"/>
    <col min="176" max="176" width="6.81640625" bestFit="1" customWidth="1"/>
    <col min="177" max="178" width="5.81640625" bestFit="1" customWidth="1"/>
    <col min="179" max="180" width="6.81640625" bestFit="1" customWidth="1"/>
    <col min="181" max="183" width="5.81640625" bestFit="1" customWidth="1"/>
    <col min="184" max="185" width="6.81640625" bestFit="1" customWidth="1"/>
    <col min="186" max="188" width="5.81640625" bestFit="1" customWidth="1"/>
    <col min="189" max="189" width="3.81640625" bestFit="1" customWidth="1"/>
    <col min="190" max="190" width="5.81640625" bestFit="1" customWidth="1"/>
    <col min="191" max="191" width="6.81640625" bestFit="1" customWidth="1"/>
    <col min="192" max="193" width="5.81640625" bestFit="1" customWidth="1"/>
    <col min="194" max="194" width="6.81640625" bestFit="1" customWidth="1"/>
    <col min="195" max="199" width="5.81640625" bestFit="1" customWidth="1"/>
    <col min="200" max="204" width="6.81640625" bestFit="1" customWidth="1"/>
    <col min="205" max="206" width="5.81640625" bestFit="1" customWidth="1"/>
    <col min="207" max="207" width="4.81640625" bestFit="1" customWidth="1"/>
    <col min="208" max="209" width="6.81640625" bestFit="1" customWidth="1"/>
    <col min="210" max="210" width="5.81640625" bestFit="1" customWidth="1"/>
    <col min="211" max="212" width="6.81640625" bestFit="1" customWidth="1"/>
    <col min="213" max="213" width="5.81640625" bestFit="1" customWidth="1"/>
    <col min="214" max="217" width="6.81640625" bestFit="1" customWidth="1"/>
    <col min="218" max="218" width="5.81640625" bestFit="1" customWidth="1"/>
    <col min="219" max="219" width="6.81640625" bestFit="1" customWidth="1"/>
    <col min="220" max="220" width="5.81640625" bestFit="1" customWidth="1"/>
    <col min="221" max="221" width="6.81640625" bestFit="1" customWidth="1"/>
    <col min="222" max="222" width="4.81640625" bestFit="1" customWidth="1"/>
    <col min="223" max="225" width="5.81640625" bestFit="1" customWidth="1"/>
    <col min="226" max="228" width="6.81640625" bestFit="1" customWidth="1"/>
    <col min="229" max="229" width="5.81640625" bestFit="1" customWidth="1"/>
    <col min="230" max="230" width="6.81640625" bestFit="1" customWidth="1"/>
    <col min="231" max="233" width="5.81640625" bestFit="1" customWidth="1"/>
    <col min="234" max="234" width="3.81640625" bestFit="1" customWidth="1"/>
    <col min="235" max="235" width="6.81640625" bestFit="1" customWidth="1"/>
    <col min="236" max="236" width="5.81640625" bestFit="1" customWidth="1"/>
    <col min="237" max="237" width="4.81640625" bestFit="1" customWidth="1"/>
    <col min="238" max="239" width="6.81640625" bestFit="1" customWidth="1"/>
    <col min="240" max="240" width="5.81640625" bestFit="1" customWidth="1"/>
    <col min="241" max="242" width="6.81640625" bestFit="1" customWidth="1"/>
    <col min="243" max="243" width="5.81640625" bestFit="1" customWidth="1"/>
    <col min="244" max="244" width="6.81640625" bestFit="1" customWidth="1"/>
    <col min="245" max="245" width="4.81640625" bestFit="1" customWidth="1"/>
    <col min="246" max="246" width="5.81640625" bestFit="1" customWidth="1"/>
    <col min="247" max="247" width="4.81640625" bestFit="1" customWidth="1"/>
    <col min="248" max="248" width="6.81640625" bestFit="1" customWidth="1"/>
    <col min="249" max="249" width="5.81640625" bestFit="1" customWidth="1"/>
    <col min="250" max="250" width="6.81640625" bestFit="1" customWidth="1"/>
    <col min="251" max="253" width="5.81640625" bestFit="1" customWidth="1"/>
    <col min="254" max="255" width="6.81640625" bestFit="1" customWidth="1"/>
    <col min="256" max="257" width="5.81640625" bestFit="1" customWidth="1"/>
    <col min="258" max="258" width="3.81640625" bestFit="1" customWidth="1"/>
    <col min="259" max="262" width="5.81640625" bestFit="1" customWidth="1"/>
    <col min="263" max="263" width="6.81640625" bestFit="1" customWidth="1"/>
    <col min="264" max="264" width="5.81640625" bestFit="1" customWidth="1"/>
    <col min="265" max="265" width="6.81640625" bestFit="1" customWidth="1"/>
    <col min="266" max="266" width="5.81640625" bestFit="1" customWidth="1"/>
    <col min="267" max="267" width="6.81640625" bestFit="1" customWidth="1"/>
    <col min="268" max="269" width="5.81640625" bestFit="1" customWidth="1"/>
    <col min="270" max="270" width="6.81640625" bestFit="1" customWidth="1"/>
    <col min="271" max="272" width="5.81640625" bestFit="1" customWidth="1"/>
    <col min="273" max="275" width="6.81640625" bestFit="1" customWidth="1"/>
    <col min="276" max="276" width="5.81640625" bestFit="1" customWidth="1"/>
    <col min="277" max="277" width="4.81640625" bestFit="1" customWidth="1"/>
    <col min="278" max="278" width="5.81640625" bestFit="1" customWidth="1"/>
    <col min="279" max="279" width="4.81640625" bestFit="1" customWidth="1"/>
    <col min="280" max="281" width="5.81640625" bestFit="1" customWidth="1"/>
    <col min="282" max="282" width="6.81640625" bestFit="1" customWidth="1"/>
    <col min="283" max="283" width="5.81640625" bestFit="1" customWidth="1"/>
    <col min="284" max="284" width="6.81640625" bestFit="1" customWidth="1"/>
    <col min="285" max="285" width="4.81640625" bestFit="1" customWidth="1"/>
    <col min="286" max="286" width="6.81640625" bestFit="1" customWidth="1"/>
    <col min="287" max="287" width="5.81640625" bestFit="1" customWidth="1"/>
    <col min="288" max="288" width="7.81640625" bestFit="1" customWidth="1"/>
    <col min="289" max="295" width="6.81640625" bestFit="1" customWidth="1"/>
    <col min="296" max="296" width="10.7265625" bestFit="1" customWidth="1"/>
  </cols>
  <sheetData>
    <row r="3" spans="1:28" x14ac:dyDescent="0.35">
      <c r="A3" s="5" t="s">
        <v>168</v>
      </c>
      <c r="B3" t="s">
        <v>172</v>
      </c>
      <c r="D3" s="5" t="s">
        <v>168</v>
      </c>
      <c r="E3" t="s">
        <v>172</v>
      </c>
      <c r="G3" s="5" t="s">
        <v>168</v>
      </c>
      <c r="H3" t="s">
        <v>172</v>
      </c>
      <c r="K3" s="5" t="s">
        <v>168</v>
      </c>
      <c r="L3" t="s">
        <v>172</v>
      </c>
      <c r="M3" t="s">
        <v>170</v>
      </c>
      <c r="R3" s="5" t="s">
        <v>168</v>
      </c>
      <c r="S3" t="s">
        <v>172</v>
      </c>
      <c r="W3" s="5" t="s">
        <v>168</v>
      </c>
      <c r="X3" t="s">
        <v>172</v>
      </c>
      <c r="AA3" s="5" t="s">
        <v>168</v>
      </c>
      <c r="AB3" t="s">
        <v>187</v>
      </c>
    </row>
    <row r="4" spans="1:28" x14ac:dyDescent="0.35">
      <c r="A4" s="6" t="s">
        <v>46</v>
      </c>
      <c r="B4" s="7">
        <v>12256.44</v>
      </c>
      <c r="D4" s="6" t="s">
        <v>47</v>
      </c>
      <c r="E4" s="7">
        <v>100233.95</v>
      </c>
      <c r="G4" s="6" t="s">
        <v>175</v>
      </c>
      <c r="H4" s="7">
        <v>55973.89</v>
      </c>
      <c r="K4" s="6" t="s">
        <v>175</v>
      </c>
      <c r="L4" s="7">
        <v>29870.459999999995</v>
      </c>
      <c r="M4" s="7">
        <v>6218.4600000000019</v>
      </c>
      <c r="R4" s="6" t="s">
        <v>12</v>
      </c>
      <c r="S4" s="7">
        <v>252031.47999999992</v>
      </c>
      <c r="W4" s="6" t="s">
        <v>11</v>
      </c>
      <c r="X4" s="7">
        <v>154019.16</v>
      </c>
      <c r="AA4" s="6" t="s">
        <v>11</v>
      </c>
      <c r="AB4" s="7">
        <v>1576</v>
      </c>
    </row>
    <row r="5" spans="1:28" x14ac:dyDescent="0.35">
      <c r="A5" s="6" t="s">
        <v>15</v>
      </c>
      <c r="B5" s="7">
        <v>11749.5</v>
      </c>
      <c r="D5" s="6" t="s">
        <v>106</v>
      </c>
      <c r="E5" s="7">
        <v>80011.810000000012</v>
      </c>
      <c r="G5" s="6" t="s">
        <v>176</v>
      </c>
      <c r="H5" s="7">
        <v>49485.85</v>
      </c>
      <c r="K5" s="6" t="s">
        <v>176</v>
      </c>
      <c r="L5" s="7">
        <v>20204.849999999999</v>
      </c>
      <c r="M5" s="7">
        <v>4160.8500000000013</v>
      </c>
      <c r="R5" s="6" t="s">
        <v>11</v>
      </c>
      <c r="S5" s="7">
        <v>183788.95999999996</v>
      </c>
      <c r="W5" s="6" t="s">
        <v>13</v>
      </c>
      <c r="X5" s="7">
        <v>95499.7</v>
      </c>
      <c r="AA5" s="6" t="s">
        <v>13</v>
      </c>
      <c r="AB5" s="7">
        <v>1012</v>
      </c>
    </row>
    <row r="6" spans="1:28" x14ac:dyDescent="0.35">
      <c r="A6" s="6" t="s">
        <v>59</v>
      </c>
      <c r="B6" s="7">
        <v>12760.369999999999</v>
      </c>
      <c r="D6" s="6" t="s">
        <v>76</v>
      </c>
      <c r="E6" s="7">
        <v>86925.650000000009</v>
      </c>
      <c r="G6" s="6" t="s">
        <v>177</v>
      </c>
      <c r="H6" s="7">
        <v>37519.149999999994</v>
      </c>
      <c r="K6" s="6" t="s">
        <v>177</v>
      </c>
      <c r="L6" s="7">
        <v>35360.169999999991</v>
      </c>
      <c r="M6" s="7">
        <v>8818.17</v>
      </c>
      <c r="R6" s="6" t="s">
        <v>169</v>
      </c>
      <c r="S6" s="7">
        <v>435820.43999999989</v>
      </c>
      <c r="W6" s="6" t="s">
        <v>10</v>
      </c>
      <c r="X6" s="7">
        <v>186301.58000000002</v>
      </c>
      <c r="AA6" s="6" t="s">
        <v>10</v>
      </c>
      <c r="AB6" s="7">
        <v>1982</v>
      </c>
    </row>
    <row r="7" spans="1:28" x14ac:dyDescent="0.35">
      <c r="A7" s="6" t="s">
        <v>85</v>
      </c>
      <c r="B7" s="7">
        <v>12392.23</v>
      </c>
      <c r="D7" s="6" t="s">
        <v>136</v>
      </c>
      <c r="E7" s="7">
        <v>78653.680000000008</v>
      </c>
      <c r="G7" s="6" t="s">
        <v>178</v>
      </c>
      <c r="H7" s="7">
        <v>21968.939999999995</v>
      </c>
      <c r="K7" s="6" t="s">
        <v>178</v>
      </c>
      <c r="L7" s="7">
        <v>21968.939999999995</v>
      </c>
      <c r="M7" s="7">
        <v>5192.9400000000023</v>
      </c>
      <c r="W7" s="6" t="s">
        <v>169</v>
      </c>
      <c r="X7" s="7">
        <v>435820.44</v>
      </c>
      <c r="AA7" s="6" t="s">
        <v>169</v>
      </c>
      <c r="AB7" s="7">
        <v>4570</v>
      </c>
    </row>
    <row r="8" spans="1:28" x14ac:dyDescent="0.35">
      <c r="A8" s="6" t="s">
        <v>25</v>
      </c>
      <c r="B8" s="7">
        <v>12863.12</v>
      </c>
      <c r="D8" s="6" t="s">
        <v>16</v>
      </c>
      <c r="E8" s="7">
        <v>89995.35</v>
      </c>
      <c r="G8" s="6" t="s">
        <v>179</v>
      </c>
      <c r="H8" s="7">
        <v>31424.579999999998</v>
      </c>
      <c r="K8" s="6" t="s">
        <v>179</v>
      </c>
      <c r="L8" s="7">
        <v>31424.579999999998</v>
      </c>
      <c r="M8" s="7">
        <v>4949.58</v>
      </c>
    </row>
    <row r="9" spans="1:28" x14ac:dyDescent="0.35">
      <c r="A9" s="6" t="s">
        <v>68</v>
      </c>
      <c r="B9" s="7">
        <v>12812.35</v>
      </c>
      <c r="D9" s="6" t="s">
        <v>169</v>
      </c>
      <c r="E9" s="7">
        <v>435820.44000000006</v>
      </c>
      <c r="G9" s="6" t="s">
        <v>180</v>
      </c>
      <c r="H9" s="7">
        <v>33370.030000000013</v>
      </c>
      <c r="K9" s="6" t="s">
        <v>180</v>
      </c>
      <c r="L9" s="7">
        <v>33370.030000000013</v>
      </c>
      <c r="M9" s="7">
        <v>9492.0300000000007</v>
      </c>
    </row>
    <row r="10" spans="1:28" x14ac:dyDescent="0.35">
      <c r="A10" s="6" t="s">
        <v>105</v>
      </c>
      <c r="B10" s="7">
        <v>12052.58</v>
      </c>
      <c r="G10" s="6" t="s">
        <v>181</v>
      </c>
      <c r="H10" s="7">
        <v>32734.800000000003</v>
      </c>
      <c r="K10" s="6" t="s">
        <v>181</v>
      </c>
      <c r="L10" s="7">
        <v>32734.800000000003</v>
      </c>
      <c r="M10" s="7">
        <v>7602.8</v>
      </c>
    </row>
    <row r="11" spans="1:28" x14ac:dyDescent="0.35">
      <c r="A11" s="6" t="s">
        <v>103</v>
      </c>
      <c r="B11" s="7">
        <v>11530.430000000002</v>
      </c>
      <c r="G11" s="6" t="s">
        <v>182</v>
      </c>
      <c r="H11" s="7">
        <v>33709.949999999997</v>
      </c>
      <c r="K11" s="6" t="s">
        <v>182</v>
      </c>
      <c r="L11" s="7">
        <v>33709.949999999997</v>
      </c>
      <c r="M11" s="7">
        <v>7122.9500000000016</v>
      </c>
    </row>
    <row r="12" spans="1:28" x14ac:dyDescent="0.35">
      <c r="A12" s="6" t="s">
        <v>56</v>
      </c>
      <c r="B12" s="7">
        <v>12233.76</v>
      </c>
      <c r="G12" s="6" t="s">
        <v>183</v>
      </c>
      <c r="H12" s="7">
        <v>38926.740000000005</v>
      </c>
      <c r="K12" s="6" t="s">
        <v>183</v>
      </c>
      <c r="L12" s="7">
        <v>38926.740000000005</v>
      </c>
      <c r="M12" s="7">
        <v>10702.74</v>
      </c>
    </row>
    <row r="13" spans="1:28" x14ac:dyDescent="0.35">
      <c r="A13" s="6" t="s">
        <v>100</v>
      </c>
      <c r="B13" s="7">
        <v>11598.760000000002</v>
      </c>
      <c r="G13" s="6" t="s">
        <v>184</v>
      </c>
      <c r="H13" s="7">
        <v>34754.9</v>
      </c>
      <c r="K13" s="6" t="s">
        <v>184</v>
      </c>
      <c r="L13" s="7">
        <v>34754.9</v>
      </c>
      <c r="M13" s="7">
        <v>7623.9000000000033</v>
      </c>
    </row>
    <row r="14" spans="1:28" x14ac:dyDescent="0.35">
      <c r="A14" s="6" t="s">
        <v>169</v>
      </c>
      <c r="B14" s="7">
        <v>122249.54000000001</v>
      </c>
      <c r="G14" s="6" t="s">
        <v>185</v>
      </c>
      <c r="H14" s="7">
        <v>31789.880000000008</v>
      </c>
      <c r="K14" s="6" t="s">
        <v>185</v>
      </c>
      <c r="L14" s="7">
        <v>31789.880000000008</v>
      </c>
      <c r="M14" s="7">
        <v>6000.8799999999992</v>
      </c>
    </row>
    <row r="15" spans="1:28" x14ac:dyDescent="0.35">
      <c r="G15" s="6" t="s">
        <v>186</v>
      </c>
      <c r="H15" s="7">
        <v>34161.730000000003</v>
      </c>
      <c r="K15" s="6" t="s">
        <v>186</v>
      </c>
      <c r="L15" s="7">
        <v>34161.730000000003</v>
      </c>
      <c r="M15" s="7">
        <v>8472.73</v>
      </c>
    </row>
    <row r="16" spans="1:28" x14ac:dyDescent="0.35">
      <c r="G16" s="6" t="s">
        <v>169</v>
      </c>
      <c r="H16" s="7">
        <v>435820.44</v>
      </c>
      <c r="K16" s="6" t="s">
        <v>169</v>
      </c>
      <c r="L16" s="7">
        <v>378277.02999999997</v>
      </c>
      <c r="M16" s="7">
        <v>86358.030000000013</v>
      </c>
    </row>
  </sheetData>
  <pageMargins left="0.7" right="0.7" top="0.75" bottom="0.75" header="0.3" footer="0.3"/>
  <drawing r:id="rId8"/>
  <extLst>
    <ext xmlns:x15="http://schemas.microsoft.com/office/spreadsheetml/2010/11/main" uri="{7E03D99C-DC04-49d9-9315-930204A7B6E9}">
      <x15:timelineRefs>
        <x15:timelineRef r:id="rId9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D743-8A8F-4166-94CA-CC5A09AF80DA}">
  <dimension ref="A1:M428"/>
  <sheetViews>
    <sheetView workbookViewId="0">
      <selection activeCell="N2" sqref="N2"/>
    </sheetView>
  </sheetViews>
  <sheetFormatPr defaultRowHeight="14.5" x14ac:dyDescent="0.35"/>
  <cols>
    <col min="1" max="1" width="10.453125" bestFit="1" customWidth="1"/>
    <col min="2" max="2" width="11.7265625" customWidth="1"/>
    <col min="3" max="3" width="4.453125" bestFit="1" customWidth="1"/>
    <col min="4" max="4" width="11.1796875" bestFit="1" customWidth="1"/>
    <col min="5" max="5" width="15.54296875" bestFit="1" customWidth="1"/>
    <col min="6" max="6" width="12.36328125" bestFit="1" customWidth="1"/>
    <col min="7" max="7" width="12.6328125" bestFit="1" customWidth="1"/>
    <col min="8" max="8" width="11" bestFit="1" customWidth="1"/>
    <col min="9" max="9" width="13.36328125" bestFit="1" customWidth="1"/>
    <col min="11" max="11" width="21.1796875" bestFit="1" customWidth="1"/>
    <col min="13" max="13" width="17.54296875" bestFit="1" customWidth="1"/>
  </cols>
  <sheetData>
    <row r="1" spans="1:13" x14ac:dyDescent="0.35">
      <c r="A1" s="4" t="s">
        <v>6</v>
      </c>
      <c r="B1" s="4" t="s">
        <v>0</v>
      </c>
      <c r="C1" s="4" t="s">
        <v>7</v>
      </c>
      <c r="D1" s="4" t="s">
        <v>8</v>
      </c>
      <c r="E1" s="4" t="s">
        <v>9</v>
      </c>
      <c r="F1" s="4" t="s">
        <v>4</v>
      </c>
      <c r="G1" s="4" t="s">
        <v>5</v>
      </c>
      <c r="H1" s="4" t="s">
        <v>165</v>
      </c>
      <c r="I1" s="4" t="s">
        <v>166</v>
      </c>
      <c r="J1" s="4" t="s">
        <v>167</v>
      </c>
      <c r="K1" s="4" t="s">
        <v>171</v>
      </c>
      <c r="L1" s="4" t="s">
        <v>173</v>
      </c>
      <c r="M1" s="4" t="s">
        <v>174</v>
      </c>
    </row>
    <row r="2" spans="1:13" x14ac:dyDescent="0.35">
      <c r="A2" s="8">
        <v>45292</v>
      </c>
      <c r="B2" t="s">
        <v>84</v>
      </c>
      <c r="C2">
        <v>10</v>
      </c>
      <c r="D2" t="s">
        <v>10</v>
      </c>
      <c r="E2" t="s">
        <v>11</v>
      </c>
      <c r="F2">
        <f>VLOOKUP(B2,Catalogue!$A$1:$F$51,5,FALSE)</f>
        <v>136</v>
      </c>
      <c r="G2">
        <f>VLOOKUP(B2,Catalogue!$A$1:$F$51,6,FALSE)</f>
        <v>153.68</v>
      </c>
      <c r="H2">
        <f>C2*F2</f>
        <v>1360</v>
      </c>
      <c r="I2">
        <f>C2*G2</f>
        <v>1536.8000000000002</v>
      </c>
      <c r="J2">
        <f>I2-H2</f>
        <v>176.80000000000018</v>
      </c>
      <c r="K2" t="str" cm="1">
        <f t="array" ref="K2:K51">Catalogue!B2:B51</f>
        <v>Dove Soap</v>
      </c>
      <c r="L2" t="str">
        <f>TEXT(A2,"mmm")</f>
        <v>Jan</v>
      </c>
      <c r="M2" t="str" cm="1">
        <f t="array" ref="M2:M51">Catalogue!C2:C51</f>
        <v>Personal Care</v>
      </c>
    </row>
    <row r="3" spans="1:13" x14ac:dyDescent="0.35">
      <c r="A3" s="8">
        <v>45293</v>
      </c>
      <c r="B3" t="s">
        <v>134</v>
      </c>
      <c r="C3">
        <v>2</v>
      </c>
      <c r="D3" t="s">
        <v>11</v>
      </c>
      <c r="E3" t="s">
        <v>12</v>
      </c>
      <c r="F3">
        <f>VLOOKUP(B3,Catalogue!$A$1:$F$51,5,FALSE)</f>
        <v>44</v>
      </c>
      <c r="G3">
        <f>VLOOKUP(B3,Catalogue!$A$1:$F$51,6,FALSE)</f>
        <v>58.08</v>
      </c>
      <c r="H3">
        <f t="shared" ref="H3:H66" si="0">C3*F3</f>
        <v>88</v>
      </c>
      <c r="I3">
        <f t="shared" ref="I3:I66" si="1">C3*G3</f>
        <v>116.16</v>
      </c>
      <c r="J3">
        <f t="shared" ref="J3:J66" si="2">I3-H3</f>
        <v>28.159999999999997</v>
      </c>
      <c r="K3" t="str">
        <v>Colgate Toothpaste</v>
      </c>
      <c r="L3" t="str">
        <f t="shared" ref="L3:L66" si="3">TEXT(A3,"mmm")</f>
        <v>Jan</v>
      </c>
      <c r="M3" t="str">
        <v>Personal Care</v>
      </c>
    </row>
    <row r="4" spans="1:13" x14ac:dyDescent="0.35">
      <c r="A4" s="8">
        <v>45294</v>
      </c>
      <c r="B4" t="s">
        <v>81</v>
      </c>
      <c r="C4">
        <v>2</v>
      </c>
      <c r="D4" t="s">
        <v>13</v>
      </c>
      <c r="E4" t="s">
        <v>12</v>
      </c>
      <c r="F4">
        <f>VLOOKUP(B4,Catalogue!$A$1:$F$51,5,FALSE)</f>
        <v>123</v>
      </c>
      <c r="G4">
        <f>VLOOKUP(B4,Catalogue!$A$1:$F$51,6,FALSE)</f>
        <v>140.22</v>
      </c>
      <c r="H4">
        <f t="shared" si="0"/>
        <v>246</v>
      </c>
      <c r="I4">
        <f t="shared" si="1"/>
        <v>280.44</v>
      </c>
      <c r="J4">
        <f t="shared" si="2"/>
        <v>34.44</v>
      </c>
      <c r="K4" t="str">
        <v>Lifebuoy Handwash</v>
      </c>
      <c r="L4" t="str">
        <f t="shared" si="3"/>
        <v>Jan</v>
      </c>
      <c r="M4" t="str">
        <v>Personal Care</v>
      </c>
    </row>
    <row r="5" spans="1:13" x14ac:dyDescent="0.35">
      <c r="A5" s="8">
        <v>45295</v>
      </c>
      <c r="B5" t="s">
        <v>162</v>
      </c>
      <c r="C5">
        <v>11</v>
      </c>
      <c r="D5" t="s">
        <v>13</v>
      </c>
      <c r="E5" t="s">
        <v>11</v>
      </c>
      <c r="F5">
        <f>VLOOKUP(B5,Catalogue!$A$1:$F$51,5,FALSE)</f>
        <v>12</v>
      </c>
      <c r="G5">
        <f>VLOOKUP(B5,Catalogue!$A$1:$F$51,6,FALSE)</f>
        <v>17.52</v>
      </c>
      <c r="H5">
        <f t="shared" si="0"/>
        <v>132</v>
      </c>
      <c r="I5">
        <f t="shared" si="1"/>
        <v>192.72</v>
      </c>
      <c r="J5">
        <f t="shared" si="2"/>
        <v>60.72</v>
      </c>
      <c r="K5" t="str">
        <v>Nivea Body Lotion</v>
      </c>
      <c r="L5" t="str">
        <f t="shared" si="3"/>
        <v>Jan</v>
      </c>
      <c r="M5" t="str">
        <v>Personal Care</v>
      </c>
    </row>
    <row r="6" spans="1:13" x14ac:dyDescent="0.35">
      <c r="A6" s="8">
        <v>45296</v>
      </c>
      <c r="B6" t="s">
        <v>134</v>
      </c>
      <c r="C6">
        <v>18</v>
      </c>
      <c r="D6" t="s">
        <v>11</v>
      </c>
      <c r="E6" t="s">
        <v>12</v>
      </c>
      <c r="F6">
        <f>VLOOKUP(B6,Catalogue!$A$1:$F$51,5,FALSE)</f>
        <v>44</v>
      </c>
      <c r="G6">
        <f>VLOOKUP(B6,Catalogue!$A$1:$F$51,6,FALSE)</f>
        <v>58.08</v>
      </c>
      <c r="H6">
        <f t="shared" si="0"/>
        <v>792</v>
      </c>
      <c r="I6">
        <f t="shared" si="1"/>
        <v>1045.44</v>
      </c>
      <c r="J6">
        <f t="shared" si="2"/>
        <v>253.44000000000005</v>
      </c>
      <c r="K6" t="str">
        <v>Gillette Shaving Foam</v>
      </c>
      <c r="L6" t="str">
        <f t="shared" si="3"/>
        <v>Jan</v>
      </c>
      <c r="M6" t="str">
        <v>Personal Care</v>
      </c>
    </row>
    <row r="7" spans="1:13" x14ac:dyDescent="0.35">
      <c r="A7" s="8">
        <v>45297</v>
      </c>
      <c r="B7" t="s">
        <v>33</v>
      </c>
      <c r="C7">
        <v>10</v>
      </c>
      <c r="D7" t="s">
        <v>10</v>
      </c>
      <c r="E7" t="s">
        <v>11</v>
      </c>
      <c r="F7">
        <f>VLOOKUP(B7,Catalogue!$A$1:$F$51,5,FALSE)</f>
        <v>10</v>
      </c>
      <c r="G7">
        <f>VLOOKUP(B7,Catalogue!$A$1:$F$51,6,FALSE)</f>
        <v>11.2</v>
      </c>
      <c r="H7">
        <f t="shared" si="0"/>
        <v>100</v>
      </c>
      <c r="I7">
        <f t="shared" si="1"/>
        <v>112</v>
      </c>
      <c r="J7">
        <f t="shared" si="2"/>
        <v>12</v>
      </c>
      <c r="K7" t="str">
        <v>Pantene Shampoo</v>
      </c>
      <c r="L7" t="str">
        <f t="shared" si="3"/>
        <v>Jan</v>
      </c>
      <c r="M7" t="str">
        <v>Personal Care</v>
      </c>
    </row>
    <row r="8" spans="1:13" x14ac:dyDescent="0.35">
      <c r="A8" s="8">
        <v>45298</v>
      </c>
      <c r="B8" t="s">
        <v>150</v>
      </c>
      <c r="C8">
        <v>14</v>
      </c>
      <c r="D8" t="s">
        <v>10</v>
      </c>
      <c r="E8" t="s">
        <v>12</v>
      </c>
      <c r="F8">
        <f>VLOOKUP(B8,Catalogue!$A$1:$F$51,5,FALSE)</f>
        <v>16</v>
      </c>
      <c r="G8">
        <f>VLOOKUP(B8,Catalogue!$A$1:$F$51,6,FALSE)</f>
        <v>26.4</v>
      </c>
      <c r="H8">
        <f t="shared" si="0"/>
        <v>224</v>
      </c>
      <c r="I8">
        <f t="shared" si="1"/>
        <v>369.59999999999997</v>
      </c>
      <c r="J8">
        <f t="shared" si="2"/>
        <v>145.59999999999997</v>
      </c>
      <c r="K8" t="str">
        <v>Dettol Antiseptic Liquid</v>
      </c>
      <c r="L8" t="str">
        <f t="shared" si="3"/>
        <v>Jan</v>
      </c>
      <c r="M8" t="str">
        <v>Personal Care</v>
      </c>
    </row>
    <row r="9" spans="1:13" x14ac:dyDescent="0.35">
      <c r="A9" s="8">
        <v>45299</v>
      </c>
      <c r="B9" t="s">
        <v>96</v>
      </c>
      <c r="C9">
        <v>10</v>
      </c>
      <c r="D9" t="s">
        <v>11</v>
      </c>
      <c r="E9" t="s">
        <v>11</v>
      </c>
      <c r="F9">
        <f>VLOOKUP(B9,Catalogue!$A$1:$F$51,5,FALSE)</f>
        <v>44</v>
      </c>
      <c r="G9">
        <f>VLOOKUP(B9,Catalogue!$A$1:$F$51,6,FALSE)</f>
        <v>48.4</v>
      </c>
      <c r="H9">
        <f t="shared" si="0"/>
        <v>440</v>
      </c>
      <c r="I9">
        <f t="shared" si="1"/>
        <v>484</v>
      </c>
      <c r="J9">
        <f t="shared" si="2"/>
        <v>44</v>
      </c>
      <c r="K9" t="str">
        <v>Himalaya Face Wash</v>
      </c>
      <c r="L9" t="str">
        <f t="shared" si="3"/>
        <v>Jan</v>
      </c>
      <c r="M9" t="str">
        <v>Personal Care</v>
      </c>
    </row>
    <row r="10" spans="1:13" x14ac:dyDescent="0.35">
      <c r="A10" s="8">
        <v>45300</v>
      </c>
      <c r="B10" t="s">
        <v>104</v>
      </c>
      <c r="C10">
        <v>16</v>
      </c>
      <c r="D10" t="s">
        <v>10</v>
      </c>
      <c r="E10" t="s">
        <v>12</v>
      </c>
      <c r="F10">
        <f>VLOOKUP(B10,Catalogue!$A$1:$F$51,5,FALSE)</f>
        <v>124</v>
      </c>
      <c r="G10">
        <f>VLOOKUP(B10,Catalogue!$A$1:$F$51,6,FALSE)</f>
        <v>163.68</v>
      </c>
      <c r="H10">
        <f t="shared" si="0"/>
        <v>1984</v>
      </c>
      <c r="I10">
        <f t="shared" si="1"/>
        <v>2618.88</v>
      </c>
      <c r="J10">
        <f t="shared" si="2"/>
        <v>634.88000000000011</v>
      </c>
      <c r="K10" t="str">
        <v>Vaseline Lip Care</v>
      </c>
      <c r="L10" t="str">
        <f t="shared" si="3"/>
        <v>Jan</v>
      </c>
      <c r="M10" t="str">
        <v>Personal Care</v>
      </c>
    </row>
    <row r="11" spans="1:13" x14ac:dyDescent="0.35">
      <c r="A11" s="8">
        <v>45301</v>
      </c>
      <c r="B11" t="s">
        <v>113</v>
      </c>
      <c r="C11">
        <v>14</v>
      </c>
      <c r="D11" t="s">
        <v>10</v>
      </c>
      <c r="E11" t="s">
        <v>12</v>
      </c>
      <c r="F11">
        <f>VLOOKUP(B11,Catalogue!$A$1:$F$51,5,FALSE)</f>
        <v>10</v>
      </c>
      <c r="G11">
        <f>VLOOKUP(B11,Catalogue!$A$1:$F$51,6,FALSE)</f>
        <v>11.3</v>
      </c>
      <c r="H11">
        <f t="shared" si="0"/>
        <v>140</v>
      </c>
      <c r="I11">
        <f t="shared" si="1"/>
        <v>158.20000000000002</v>
      </c>
      <c r="J11">
        <f t="shared" si="2"/>
        <v>18.200000000000017</v>
      </c>
      <c r="K11" t="str">
        <v>Johnson’s Baby Powder</v>
      </c>
      <c r="L11" t="str">
        <f t="shared" si="3"/>
        <v>Jan</v>
      </c>
      <c r="M11" t="str">
        <v>Personal Care</v>
      </c>
    </row>
    <row r="12" spans="1:13" x14ac:dyDescent="0.35">
      <c r="A12" s="8">
        <v>45302</v>
      </c>
      <c r="B12" t="s">
        <v>81</v>
      </c>
      <c r="C12">
        <v>17</v>
      </c>
      <c r="D12" t="s">
        <v>11</v>
      </c>
      <c r="E12" t="s">
        <v>11</v>
      </c>
      <c r="F12">
        <f>VLOOKUP(B12,Catalogue!$A$1:$F$51,5,FALSE)</f>
        <v>123</v>
      </c>
      <c r="G12">
        <f>VLOOKUP(B12,Catalogue!$A$1:$F$51,6,FALSE)</f>
        <v>140.22</v>
      </c>
      <c r="H12">
        <f t="shared" si="0"/>
        <v>2091</v>
      </c>
      <c r="I12">
        <f t="shared" si="1"/>
        <v>2383.7399999999998</v>
      </c>
      <c r="J12">
        <f t="shared" si="2"/>
        <v>292.73999999999978</v>
      </c>
      <c r="K12" t="str">
        <v>Coca-Cola Can</v>
      </c>
      <c r="L12" t="str">
        <f t="shared" si="3"/>
        <v>Jan</v>
      </c>
      <c r="M12" t="str">
        <v>Beverages</v>
      </c>
    </row>
    <row r="13" spans="1:13" x14ac:dyDescent="0.35">
      <c r="A13" s="8">
        <v>45303</v>
      </c>
      <c r="B13" t="s">
        <v>49</v>
      </c>
      <c r="C13">
        <v>10</v>
      </c>
      <c r="D13" t="s">
        <v>13</v>
      </c>
      <c r="E13" t="s">
        <v>12</v>
      </c>
      <c r="F13">
        <f>VLOOKUP(B13,Catalogue!$A$1:$F$51,5,FALSE)</f>
        <v>12</v>
      </c>
      <c r="G13">
        <f>VLOOKUP(B13,Catalogue!$A$1:$F$51,6,FALSE)</f>
        <v>13.44</v>
      </c>
      <c r="H13">
        <f t="shared" si="0"/>
        <v>120</v>
      </c>
      <c r="I13">
        <f t="shared" si="1"/>
        <v>134.4</v>
      </c>
      <c r="J13">
        <f t="shared" si="2"/>
        <v>14.400000000000006</v>
      </c>
      <c r="K13" t="str">
        <v>Pepsi Bottle</v>
      </c>
      <c r="L13" t="str">
        <f t="shared" si="3"/>
        <v>Jan</v>
      </c>
      <c r="M13" t="str">
        <v>Beverages</v>
      </c>
    </row>
    <row r="14" spans="1:13" x14ac:dyDescent="0.35">
      <c r="A14" s="8">
        <v>45304</v>
      </c>
      <c r="B14" t="s">
        <v>159</v>
      </c>
      <c r="C14">
        <v>8</v>
      </c>
      <c r="D14" t="s">
        <v>13</v>
      </c>
      <c r="E14" t="s">
        <v>12</v>
      </c>
      <c r="F14">
        <f>VLOOKUP(B14,Catalogue!$A$1:$F$51,5,FALSE)</f>
        <v>136</v>
      </c>
      <c r="G14">
        <f>VLOOKUP(B14,Catalogue!$A$1:$F$51,6,FALSE)</f>
        <v>183.6</v>
      </c>
      <c r="H14">
        <f t="shared" si="0"/>
        <v>1088</v>
      </c>
      <c r="I14">
        <f t="shared" si="1"/>
        <v>1468.8</v>
      </c>
      <c r="J14">
        <f t="shared" si="2"/>
        <v>380.79999999999995</v>
      </c>
      <c r="K14" t="str">
        <v>Red Bull</v>
      </c>
      <c r="L14" t="str">
        <f t="shared" si="3"/>
        <v>Jan</v>
      </c>
      <c r="M14" t="str">
        <v>Beverages</v>
      </c>
    </row>
    <row r="15" spans="1:13" x14ac:dyDescent="0.35">
      <c r="A15" s="8">
        <v>45305</v>
      </c>
      <c r="B15" t="s">
        <v>49</v>
      </c>
      <c r="C15">
        <v>12</v>
      </c>
      <c r="D15" t="s">
        <v>11</v>
      </c>
      <c r="E15" t="s">
        <v>11</v>
      </c>
      <c r="F15">
        <f>VLOOKUP(B15,Catalogue!$A$1:$F$51,5,FALSE)</f>
        <v>12</v>
      </c>
      <c r="G15">
        <f>VLOOKUP(B15,Catalogue!$A$1:$F$51,6,FALSE)</f>
        <v>13.44</v>
      </c>
      <c r="H15">
        <f t="shared" si="0"/>
        <v>144</v>
      </c>
      <c r="I15">
        <f t="shared" si="1"/>
        <v>161.28</v>
      </c>
      <c r="J15">
        <f t="shared" si="2"/>
        <v>17.28</v>
      </c>
      <c r="K15" t="str">
        <v>Tropicana Orange Juice</v>
      </c>
      <c r="L15" t="str">
        <f t="shared" si="3"/>
        <v>Jan</v>
      </c>
      <c r="M15" t="str">
        <v>Beverages</v>
      </c>
    </row>
    <row r="16" spans="1:13" x14ac:dyDescent="0.35">
      <c r="A16" s="8">
        <v>45306</v>
      </c>
      <c r="B16" t="s">
        <v>153</v>
      </c>
      <c r="C16">
        <v>4</v>
      </c>
      <c r="D16" t="s">
        <v>10</v>
      </c>
      <c r="E16" t="s">
        <v>12</v>
      </c>
      <c r="F16">
        <f>VLOOKUP(B16,Catalogue!$A$1:$F$51,5,FALSE)</f>
        <v>10</v>
      </c>
      <c r="G16">
        <f>VLOOKUP(B16,Catalogue!$A$1:$F$51,6,FALSE)</f>
        <v>11.2</v>
      </c>
      <c r="H16">
        <f t="shared" si="0"/>
        <v>40</v>
      </c>
      <c r="I16">
        <f t="shared" si="1"/>
        <v>44.8</v>
      </c>
      <c r="J16">
        <f t="shared" si="2"/>
        <v>4.7999999999999972</v>
      </c>
      <c r="K16" t="str">
        <v>Minute Maid Pulpy</v>
      </c>
      <c r="L16" t="str">
        <f t="shared" si="3"/>
        <v>Jan</v>
      </c>
      <c r="M16" t="str">
        <v>Beverages</v>
      </c>
    </row>
    <row r="17" spans="1:13" x14ac:dyDescent="0.35">
      <c r="A17" s="8">
        <v>45307</v>
      </c>
      <c r="B17" t="s">
        <v>36</v>
      </c>
      <c r="C17">
        <v>8</v>
      </c>
      <c r="D17" t="s">
        <v>10</v>
      </c>
      <c r="E17" t="s">
        <v>11</v>
      </c>
      <c r="F17">
        <f>VLOOKUP(B17,Catalogue!$A$1:$F$51,5,FALSE)</f>
        <v>16</v>
      </c>
      <c r="G17">
        <f>VLOOKUP(B17,Catalogue!$A$1:$F$51,6,FALSE)</f>
        <v>17.600000000000001</v>
      </c>
      <c r="H17">
        <f t="shared" si="0"/>
        <v>128</v>
      </c>
      <c r="I17">
        <f t="shared" si="1"/>
        <v>140.80000000000001</v>
      </c>
      <c r="J17">
        <f t="shared" si="2"/>
        <v>12.800000000000011</v>
      </c>
      <c r="K17" t="str">
        <v>Frooti Mango Drink</v>
      </c>
      <c r="L17" t="str">
        <f t="shared" si="3"/>
        <v>Jan</v>
      </c>
      <c r="M17" t="str">
        <v>Beverages</v>
      </c>
    </row>
    <row r="18" spans="1:13" x14ac:dyDescent="0.35">
      <c r="A18" s="8">
        <v>45308</v>
      </c>
      <c r="B18" t="s">
        <v>131</v>
      </c>
      <c r="C18">
        <v>4</v>
      </c>
      <c r="D18" t="s">
        <v>11</v>
      </c>
      <c r="E18" t="s">
        <v>12</v>
      </c>
      <c r="F18">
        <f>VLOOKUP(B18,Catalogue!$A$1:$F$51,5,FALSE)</f>
        <v>105</v>
      </c>
      <c r="G18">
        <f>VLOOKUP(B18,Catalogue!$A$1:$F$51,6,FALSE)</f>
        <v>153.30000000000001</v>
      </c>
      <c r="H18">
        <f t="shared" si="0"/>
        <v>420</v>
      </c>
      <c r="I18">
        <f t="shared" si="1"/>
        <v>613.20000000000005</v>
      </c>
      <c r="J18">
        <f t="shared" si="2"/>
        <v>193.20000000000005</v>
      </c>
      <c r="K18" t="str">
        <v>Nestlé Iced Tea</v>
      </c>
      <c r="L18" t="str">
        <f t="shared" si="3"/>
        <v>Jan</v>
      </c>
      <c r="M18" t="str">
        <v>Beverages</v>
      </c>
    </row>
    <row r="19" spans="1:13" x14ac:dyDescent="0.35">
      <c r="A19" s="8">
        <v>45309</v>
      </c>
      <c r="B19" t="s">
        <v>27</v>
      </c>
      <c r="C19">
        <v>19</v>
      </c>
      <c r="D19" t="s">
        <v>10</v>
      </c>
      <c r="E19" t="s">
        <v>11</v>
      </c>
      <c r="F19">
        <f>VLOOKUP(B19,Catalogue!$A$1:$F$51,5,FALSE)</f>
        <v>133</v>
      </c>
      <c r="G19">
        <f>VLOOKUP(B19,Catalogue!$A$1:$F$51,6,FALSE)</f>
        <v>187.53</v>
      </c>
      <c r="H19">
        <f t="shared" si="0"/>
        <v>2527</v>
      </c>
      <c r="I19">
        <f t="shared" si="1"/>
        <v>3563.07</v>
      </c>
      <c r="J19">
        <f t="shared" si="2"/>
        <v>1036.0700000000002</v>
      </c>
      <c r="K19" t="str">
        <v>Real Mixed Fruit Juice</v>
      </c>
      <c r="L19" t="str">
        <f t="shared" si="3"/>
        <v>Jan</v>
      </c>
      <c r="M19" t="str">
        <v>Beverages</v>
      </c>
    </row>
    <row r="20" spans="1:13" x14ac:dyDescent="0.35">
      <c r="A20" s="8">
        <v>45310</v>
      </c>
      <c r="B20" t="s">
        <v>74</v>
      </c>
      <c r="C20">
        <v>3</v>
      </c>
      <c r="D20" t="s">
        <v>10</v>
      </c>
      <c r="E20" t="s">
        <v>12</v>
      </c>
      <c r="F20">
        <f>VLOOKUP(B20,Catalogue!$A$1:$F$51,5,FALSE)</f>
        <v>16</v>
      </c>
      <c r="G20">
        <f>VLOOKUP(B20,Catalogue!$A$1:$F$51,6,FALSE)</f>
        <v>21.12</v>
      </c>
      <c r="H20">
        <f t="shared" si="0"/>
        <v>48</v>
      </c>
      <c r="I20">
        <f t="shared" si="1"/>
        <v>63.36</v>
      </c>
      <c r="J20">
        <f t="shared" si="2"/>
        <v>15.36</v>
      </c>
      <c r="K20" t="str">
        <v>Amul Kool Flavored Milk</v>
      </c>
      <c r="L20" t="str">
        <f t="shared" si="3"/>
        <v>Jan</v>
      </c>
      <c r="M20" t="str">
        <v>Beverages</v>
      </c>
    </row>
    <row r="21" spans="1:13" x14ac:dyDescent="0.35">
      <c r="A21" s="8">
        <v>45311</v>
      </c>
      <c r="B21" t="s">
        <v>104</v>
      </c>
      <c r="C21">
        <v>14</v>
      </c>
      <c r="D21" t="s">
        <v>11</v>
      </c>
      <c r="E21" t="s">
        <v>12</v>
      </c>
      <c r="F21">
        <f>VLOOKUP(B21,Catalogue!$A$1:$F$51,5,FALSE)</f>
        <v>124</v>
      </c>
      <c r="G21">
        <f>VLOOKUP(B21,Catalogue!$A$1:$F$51,6,FALSE)</f>
        <v>163.68</v>
      </c>
      <c r="H21">
        <f t="shared" si="0"/>
        <v>1736</v>
      </c>
      <c r="I21">
        <f t="shared" si="1"/>
        <v>2291.52</v>
      </c>
      <c r="J21">
        <f t="shared" si="2"/>
        <v>555.52</v>
      </c>
      <c r="K21" t="str">
        <v>Paper Boat Aam Panna</v>
      </c>
      <c r="L21" t="str">
        <f t="shared" si="3"/>
        <v>Jan</v>
      </c>
      <c r="M21" t="str">
        <v>Beverages</v>
      </c>
    </row>
    <row r="22" spans="1:13" x14ac:dyDescent="0.35">
      <c r="A22" s="8">
        <v>45312</v>
      </c>
      <c r="B22" t="s">
        <v>55</v>
      </c>
      <c r="C22">
        <v>2</v>
      </c>
      <c r="D22" t="s">
        <v>13</v>
      </c>
      <c r="E22" t="s">
        <v>11</v>
      </c>
      <c r="F22">
        <f>VLOOKUP(B22,Catalogue!$A$1:$F$51,5,FALSE)</f>
        <v>98</v>
      </c>
      <c r="G22">
        <f>VLOOKUP(B22,Catalogue!$A$1:$F$51,6,FALSE)</f>
        <v>110.74</v>
      </c>
      <c r="H22">
        <f t="shared" si="0"/>
        <v>196</v>
      </c>
      <c r="I22">
        <f t="shared" si="1"/>
        <v>221.48</v>
      </c>
      <c r="J22">
        <f t="shared" si="2"/>
        <v>25.47999999999999</v>
      </c>
      <c r="K22" t="str">
        <v>Maggi Noodles</v>
      </c>
      <c r="L22" t="str">
        <f t="shared" si="3"/>
        <v>Jan</v>
      </c>
      <c r="M22" t="str">
        <v>Packaged Foods</v>
      </c>
    </row>
    <row r="23" spans="1:13" x14ac:dyDescent="0.35">
      <c r="A23" s="8">
        <v>45313</v>
      </c>
      <c r="B23" t="s">
        <v>36</v>
      </c>
      <c r="C23">
        <v>7</v>
      </c>
      <c r="D23" t="s">
        <v>13</v>
      </c>
      <c r="E23" t="s">
        <v>12</v>
      </c>
      <c r="F23">
        <f>VLOOKUP(B23,Catalogue!$A$1:$F$51,5,FALSE)</f>
        <v>16</v>
      </c>
      <c r="G23">
        <f>VLOOKUP(B23,Catalogue!$A$1:$F$51,6,FALSE)</f>
        <v>17.600000000000001</v>
      </c>
      <c r="H23">
        <f t="shared" si="0"/>
        <v>112</v>
      </c>
      <c r="I23">
        <f t="shared" si="1"/>
        <v>123.20000000000002</v>
      </c>
      <c r="J23">
        <f t="shared" si="2"/>
        <v>11.200000000000017</v>
      </c>
      <c r="K23" t="str">
        <v>Sunfeast Biscuits</v>
      </c>
      <c r="L23" t="str">
        <f t="shared" si="3"/>
        <v>Jan</v>
      </c>
      <c r="M23" t="str">
        <v>Packaged Foods</v>
      </c>
    </row>
    <row r="24" spans="1:13" x14ac:dyDescent="0.35">
      <c r="A24" s="8">
        <v>45314</v>
      </c>
      <c r="B24" t="s">
        <v>21</v>
      </c>
      <c r="C24">
        <v>4</v>
      </c>
      <c r="D24" t="s">
        <v>11</v>
      </c>
      <c r="E24" t="s">
        <v>12</v>
      </c>
      <c r="F24">
        <f>VLOOKUP(B24,Catalogue!$A$1:$F$51,5,FALSE)</f>
        <v>44</v>
      </c>
      <c r="G24">
        <f>VLOOKUP(B24,Catalogue!$A$1:$F$51,6,FALSE)</f>
        <v>50.16</v>
      </c>
      <c r="H24">
        <f t="shared" si="0"/>
        <v>176</v>
      </c>
      <c r="I24">
        <f t="shared" si="1"/>
        <v>200.64</v>
      </c>
      <c r="J24">
        <f t="shared" si="2"/>
        <v>24.639999999999986</v>
      </c>
      <c r="K24" t="str">
        <v>Nestlé Cerelac</v>
      </c>
      <c r="L24" t="str">
        <f t="shared" si="3"/>
        <v>Jan</v>
      </c>
      <c r="M24" t="str">
        <v>Packaged Foods</v>
      </c>
    </row>
    <row r="25" spans="1:13" x14ac:dyDescent="0.35">
      <c r="A25" s="8">
        <v>45315</v>
      </c>
      <c r="B25" t="s">
        <v>67</v>
      </c>
      <c r="C25">
        <v>20</v>
      </c>
      <c r="D25" t="s">
        <v>10</v>
      </c>
      <c r="E25" t="s">
        <v>11</v>
      </c>
      <c r="F25">
        <f>VLOOKUP(B25,Catalogue!$A$1:$F$51,5,FALSE)</f>
        <v>133</v>
      </c>
      <c r="G25">
        <f>VLOOKUP(B25,Catalogue!$A$1:$F$51,6,FALSE)</f>
        <v>146.30000000000001</v>
      </c>
      <c r="H25">
        <f t="shared" si="0"/>
        <v>2660</v>
      </c>
      <c r="I25">
        <f t="shared" si="1"/>
        <v>2926</v>
      </c>
      <c r="J25">
        <f t="shared" si="2"/>
        <v>266</v>
      </c>
      <c r="K25" t="str">
        <v>MTR Ready Curry</v>
      </c>
      <c r="L25" t="str">
        <f t="shared" si="3"/>
        <v>Jan</v>
      </c>
      <c r="M25" t="str">
        <v>Packaged Foods</v>
      </c>
    </row>
    <row r="26" spans="1:13" x14ac:dyDescent="0.35">
      <c r="A26" s="8">
        <v>45316</v>
      </c>
      <c r="B26" t="s">
        <v>116</v>
      </c>
      <c r="C26">
        <v>15</v>
      </c>
      <c r="D26" t="s">
        <v>10</v>
      </c>
      <c r="E26" t="s">
        <v>12</v>
      </c>
      <c r="F26">
        <f>VLOOKUP(B26,Catalogue!$A$1:$F$51,5,FALSE)</f>
        <v>123</v>
      </c>
      <c r="G26">
        <f>VLOOKUP(B26,Catalogue!$A$1:$F$51,6,FALSE)</f>
        <v>173.43</v>
      </c>
      <c r="H26">
        <f t="shared" si="0"/>
        <v>1845</v>
      </c>
      <c r="I26">
        <f t="shared" si="1"/>
        <v>2601.4500000000003</v>
      </c>
      <c r="J26">
        <f t="shared" si="2"/>
        <v>756.45000000000027</v>
      </c>
      <c r="K26" t="str">
        <v>Haldiram's Bhujia</v>
      </c>
      <c r="L26" t="str">
        <f t="shared" si="3"/>
        <v>Jan</v>
      </c>
      <c r="M26" t="str">
        <v>Packaged Foods</v>
      </c>
    </row>
    <row r="27" spans="1:13" x14ac:dyDescent="0.35">
      <c r="A27" s="8">
        <v>45317</v>
      </c>
      <c r="B27" t="s">
        <v>61</v>
      </c>
      <c r="C27">
        <v>2</v>
      </c>
      <c r="D27" t="s">
        <v>11</v>
      </c>
      <c r="E27" t="s">
        <v>11</v>
      </c>
      <c r="F27">
        <f>VLOOKUP(B27,Catalogue!$A$1:$F$51,5,FALSE)</f>
        <v>44</v>
      </c>
      <c r="G27">
        <f>VLOOKUP(B27,Catalogue!$A$1:$F$51,6,FALSE)</f>
        <v>72.599999999999994</v>
      </c>
      <c r="H27">
        <f t="shared" si="0"/>
        <v>88</v>
      </c>
      <c r="I27">
        <f t="shared" si="1"/>
        <v>145.19999999999999</v>
      </c>
      <c r="J27">
        <f t="shared" si="2"/>
        <v>57.199999999999989</v>
      </c>
      <c r="K27" t="str">
        <v>Lay's Chips</v>
      </c>
      <c r="L27" t="str">
        <f t="shared" si="3"/>
        <v>Jan</v>
      </c>
      <c r="M27" t="str">
        <v>Packaged Foods</v>
      </c>
    </row>
    <row r="28" spans="1:13" x14ac:dyDescent="0.35">
      <c r="A28" s="8">
        <v>45318</v>
      </c>
      <c r="B28" t="s">
        <v>104</v>
      </c>
      <c r="C28">
        <v>9</v>
      </c>
      <c r="D28" t="s">
        <v>10</v>
      </c>
      <c r="E28" t="s">
        <v>12</v>
      </c>
      <c r="F28">
        <f>VLOOKUP(B28,Catalogue!$A$1:$F$51,5,FALSE)</f>
        <v>124</v>
      </c>
      <c r="G28">
        <f>VLOOKUP(B28,Catalogue!$A$1:$F$51,6,FALSE)</f>
        <v>163.68</v>
      </c>
      <c r="H28">
        <f t="shared" si="0"/>
        <v>1116</v>
      </c>
      <c r="I28">
        <f t="shared" si="1"/>
        <v>1473.1200000000001</v>
      </c>
      <c r="J28">
        <f t="shared" si="2"/>
        <v>357.12000000000012</v>
      </c>
      <c r="K28" t="str">
        <v>Kellogg’s Corn Flakes</v>
      </c>
      <c r="L28" t="str">
        <f t="shared" si="3"/>
        <v>Jan</v>
      </c>
      <c r="M28" t="str">
        <v>Packaged Foods</v>
      </c>
    </row>
    <row r="29" spans="1:13" x14ac:dyDescent="0.35">
      <c r="A29" s="8">
        <v>45319</v>
      </c>
      <c r="B29" t="s">
        <v>18</v>
      </c>
      <c r="C29">
        <v>6</v>
      </c>
      <c r="D29" t="s">
        <v>10</v>
      </c>
      <c r="E29" t="s">
        <v>11</v>
      </c>
      <c r="F29">
        <f>VLOOKUP(B29,Catalogue!$A$1:$F$51,5,FALSE)</f>
        <v>105</v>
      </c>
      <c r="G29">
        <f>VLOOKUP(B29,Catalogue!$A$1:$F$51,6,FALSE)</f>
        <v>117.6</v>
      </c>
      <c r="H29">
        <f t="shared" si="0"/>
        <v>630</v>
      </c>
      <c r="I29">
        <f t="shared" si="1"/>
        <v>705.59999999999991</v>
      </c>
      <c r="J29">
        <f t="shared" si="2"/>
        <v>75.599999999999909</v>
      </c>
      <c r="K29" t="str">
        <v>Britannia Cake</v>
      </c>
      <c r="L29" t="str">
        <f t="shared" si="3"/>
        <v>Jan</v>
      </c>
      <c r="M29" t="str">
        <v>Packaged Foods</v>
      </c>
    </row>
    <row r="30" spans="1:13" x14ac:dyDescent="0.35">
      <c r="A30" s="8">
        <v>45320</v>
      </c>
      <c r="B30" t="s">
        <v>159</v>
      </c>
      <c r="C30">
        <v>8</v>
      </c>
      <c r="D30" t="s">
        <v>11</v>
      </c>
      <c r="E30" t="s">
        <v>12</v>
      </c>
      <c r="F30">
        <f>VLOOKUP(B30,Catalogue!$A$1:$F$51,5,FALSE)</f>
        <v>136</v>
      </c>
      <c r="G30">
        <f>VLOOKUP(B30,Catalogue!$A$1:$F$51,6,FALSE)</f>
        <v>183.6</v>
      </c>
      <c r="H30">
        <f t="shared" si="0"/>
        <v>1088</v>
      </c>
      <c r="I30">
        <f t="shared" si="1"/>
        <v>1468.8</v>
      </c>
      <c r="J30">
        <f t="shared" si="2"/>
        <v>380.79999999999995</v>
      </c>
      <c r="K30" t="str">
        <v>Yippee Noodles</v>
      </c>
      <c r="L30" t="str">
        <f t="shared" si="3"/>
        <v>Jan</v>
      </c>
      <c r="M30" t="str">
        <v>Packaged Foods</v>
      </c>
    </row>
    <row r="31" spans="1:13" x14ac:dyDescent="0.35">
      <c r="A31" s="8">
        <v>45321</v>
      </c>
      <c r="B31" t="s">
        <v>134</v>
      </c>
      <c r="C31">
        <v>12</v>
      </c>
      <c r="D31" t="s">
        <v>13</v>
      </c>
      <c r="E31" t="s">
        <v>12</v>
      </c>
      <c r="F31">
        <f>VLOOKUP(B31,Catalogue!$A$1:$F$51,5,FALSE)</f>
        <v>44</v>
      </c>
      <c r="G31">
        <f>VLOOKUP(B31,Catalogue!$A$1:$F$51,6,FALSE)</f>
        <v>58.08</v>
      </c>
      <c r="H31">
        <f t="shared" si="0"/>
        <v>528</v>
      </c>
      <c r="I31">
        <f t="shared" si="1"/>
        <v>696.96</v>
      </c>
      <c r="J31">
        <f t="shared" si="2"/>
        <v>168.96000000000004</v>
      </c>
      <c r="K31" t="str">
        <v>Top Ramen</v>
      </c>
      <c r="L31" t="str">
        <f t="shared" si="3"/>
        <v>Jan</v>
      </c>
      <c r="M31" t="str">
        <v>Packaged Foods</v>
      </c>
    </row>
    <row r="32" spans="1:13" x14ac:dyDescent="0.35">
      <c r="A32" s="8">
        <v>45322</v>
      </c>
      <c r="B32" t="s">
        <v>93</v>
      </c>
      <c r="C32">
        <v>13</v>
      </c>
      <c r="D32" t="s">
        <v>13</v>
      </c>
      <c r="E32" t="s">
        <v>11</v>
      </c>
      <c r="F32">
        <f>VLOOKUP(B32,Catalogue!$A$1:$F$51,5,FALSE)</f>
        <v>105</v>
      </c>
      <c r="G32">
        <f>VLOOKUP(B32,Catalogue!$A$1:$F$51,6,FALSE)</f>
        <v>117.6</v>
      </c>
      <c r="H32">
        <f t="shared" si="0"/>
        <v>1365</v>
      </c>
      <c r="I32">
        <f t="shared" si="1"/>
        <v>1528.8</v>
      </c>
      <c r="J32">
        <f t="shared" si="2"/>
        <v>163.79999999999995</v>
      </c>
      <c r="K32" t="str">
        <v>Surf Excel Detergent</v>
      </c>
      <c r="L32" t="str">
        <f t="shared" si="3"/>
        <v>Jan</v>
      </c>
      <c r="M32" t="str">
        <v>Household Cleaning</v>
      </c>
    </row>
    <row r="33" spans="1:13" x14ac:dyDescent="0.35">
      <c r="A33" s="8">
        <v>45323</v>
      </c>
      <c r="B33" t="s">
        <v>99</v>
      </c>
      <c r="C33">
        <v>14</v>
      </c>
      <c r="D33" t="s">
        <v>11</v>
      </c>
      <c r="E33" t="s">
        <v>12</v>
      </c>
      <c r="F33">
        <f>VLOOKUP(B33,Catalogue!$A$1:$F$51,5,FALSE)</f>
        <v>71</v>
      </c>
      <c r="G33">
        <f>VLOOKUP(B33,Catalogue!$A$1:$F$51,6,FALSE)</f>
        <v>95.85</v>
      </c>
      <c r="H33">
        <f t="shared" si="0"/>
        <v>994</v>
      </c>
      <c r="I33">
        <f t="shared" si="1"/>
        <v>1341.8999999999999</v>
      </c>
      <c r="J33">
        <f t="shared" si="2"/>
        <v>347.89999999999986</v>
      </c>
      <c r="K33" t="str">
        <v>Vim Dishwash Bar</v>
      </c>
      <c r="L33" t="str">
        <f t="shared" si="3"/>
        <v>Feb</v>
      </c>
      <c r="M33" t="str">
        <v>Household Cleaning</v>
      </c>
    </row>
    <row r="34" spans="1:13" x14ac:dyDescent="0.35">
      <c r="A34" s="8">
        <v>45324</v>
      </c>
      <c r="B34" t="s">
        <v>30</v>
      </c>
      <c r="C34">
        <v>2</v>
      </c>
      <c r="D34" t="s">
        <v>10</v>
      </c>
      <c r="E34" t="s">
        <v>12</v>
      </c>
      <c r="F34">
        <f>VLOOKUP(B34,Catalogue!$A$1:$F$51,5,FALSE)</f>
        <v>124</v>
      </c>
      <c r="G34">
        <f>VLOOKUP(B34,Catalogue!$A$1:$F$51,6,FALSE)</f>
        <v>204.60000000000002</v>
      </c>
      <c r="H34">
        <f t="shared" si="0"/>
        <v>248</v>
      </c>
      <c r="I34">
        <f t="shared" si="1"/>
        <v>409.20000000000005</v>
      </c>
      <c r="J34">
        <f t="shared" si="2"/>
        <v>161.20000000000005</v>
      </c>
      <c r="K34" t="str">
        <v>Harpic Toilet Cleaner</v>
      </c>
      <c r="L34" t="str">
        <f t="shared" si="3"/>
        <v>Feb</v>
      </c>
      <c r="M34" t="str">
        <v>Household Cleaning</v>
      </c>
    </row>
    <row r="35" spans="1:13" x14ac:dyDescent="0.35">
      <c r="A35" s="8">
        <v>45325</v>
      </c>
      <c r="B35" t="s">
        <v>111</v>
      </c>
      <c r="C35">
        <v>19</v>
      </c>
      <c r="D35" t="s">
        <v>10</v>
      </c>
      <c r="E35" t="s">
        <v>11</v>
      </c>
      <c r="F35">
        <f>VLOOKUP(B35,Catalogue!$A$1:$F$51,5,FALSE)</f>
        <v>16</v>
      </c>
      <c r="G35">
        <f>VLOOKUP(B35,Catalogue!$A$1:$F$51,6,FALSE)</f>
        <v>18.240000000000002</v>
      </c>
      <c r="H35">
        <f t="shared" si="0"/>
        <v>304</v>
      </c>
      <c r="I35">
        <f t="shared" si="1"/>
        <v>346.56000000000006</v>
      </c>
      <c r="J35">
        <f t="shared" si="2"/>
        <v>42.560000000000059</v>
      </c>
      <c r="K35" t="str">
        <v>Lizol Floor Cleaner</v>
      </c>
      <c r="L35" t="str">
        <f t="shared" si="3"/>
        <v>Feb</v>
      </c>
      <c r="M35" t="str">
        <v>Household Cleaning</v>
      </c>
    </row>
    <row r="36" spans="1:13" x14ac:dyDescent="0.35">
      <c r="A36" s="8">
        <v>45326</v>
      </c>
      <c r="B36" t="s">
        <v>71</v>
      </c>
      <c r="C36">
        <v>19</v>
      </c>
      <c r="D36" t="s">
        <v>11</v>
      </c>
      <c r="E36" t="s">
        <v>12</v>
      </c>
      <c r="F36">
        <f>VLOOKUP(B36,Catalogue!$A$1:$F$51,5,FALSE)</f>
        <v>10</v>
      </c>
      <c r="G36">
        <f>VLOOKUP(B36,Catalogue!$A$1:$F$51,6,FALSE)</f>
        <v>14.600000000000001</v>
      </c>
      <c r="H36">
        <f t="shared" si="0"/>
        <v>190</v>
      </c>
      <c r="I36">
        <f t="shared" si="1"/>
        <v>277.40000000000003</v>
      </c>
      <c r="J36">
        <f t="shared" si="2"/>
        <v>87.400000000000034</v>
      </c>
      <c r="K36" t="str">
        <v>Domex Disinfectant</v>
      </c>
      <c r="L36" t="str">
        <f t="shared" si="3"/>
        <v>Feb</v>
      </c>
      <c r="M36" t="str">
        <v>Household Cleaning</v>
      </c>
    </row>
    <row r="37" spans="1:13" x14ac:dyDescent="0.35">
      <c r="A37" s="8">
        <v>45327</v>
      </c>
      <c r="B37" t="s">
        <v>30</v>
      </c>
      <c r="C37">
        <v>7</v>
      </c>
      <c r="D37" t="s">
        <v>10</v>
      </c>
      <c r="E37" t="s">
        <v>11</v>
      </c>
      <c r="F37">
        <f>VLOOKUP(B37,Catalogue!$A$1:$F$51,5,FALSE)</f>
        <v>124</v>
      </c>
      <c r="G37">
        <f>VLOOKUP(B37,Catalogue!$A$1:$F$51,6,FALSE)</f>
        <v>204.60000000000002</v>
      </c>
      <c r="H37">
        <f t="shared" si="0"/>
        <v>868</v>
      </c>
      <c r="I37">
        <f t="shared" si="1"/>
        <v>1432.2000000000003</v>
      </c>
      <c r="J37">
        <f t="shared" si="2"/>
        <v>564.20000000000027</v>
      </c>
      <c r="K37" t="str">
        <v>Rin Bar</v>
      </c>
      <c r="L37" t="str">
        <f t="shared" si="3"/>
        <v>Feb</v>
      </c>
      <c r="M37" t="str">
        <v>Household Cleaning</v>
      </c>
    </row>
    <row r="38" spans="1:13" x14ac:dyDescent="0.35">
      <c r="A38" s="8">
        <v>45328</v>
      </c>
      <c r="B38" t="s">
        <v>150</v>
      </c>
      <c r="C38">
        <v>14</v>
      </c>
      <c r="D38" t="s">
        <v>10</v>
      </c>
      <c r="E38" t="s">
        <v>12</v>
      </c>
      <c r="F38">
        <f>VLOOKUP(B38,Catalogue!$A$1:$F$51,5,FALSE)</f>
        <v>16</v>
      </c>
      <c r="G38">
        <f>VLOOKUP(B38,Catalogue!$A$1:$F$51,6,FALSE)</f>
        <v>26.4</v>
      </c>
      <c r="H38">
        <f t="shared" si="0"/>
        <v>224</v>
      </c>
      <c r="I38">
        <f t="shared" si="1"/>
        <v>369.59999999999997</v>
      </c>
      <c r="J38">
        <f t="shared" si="2"/>
        <v>145.59999999999997</v>
      </c>
      <c r="K38" t="str">
        <v>Scotch-Brite Scrub Pad</v>
      </c>
      <c r="L38" t="str">
        <f t="shared" si="3"/>
        <v>Feb</v>
      </c>
      <c r="M38" t="str">
        <v>Household Cleaning</v>
      </c>
    </row>
    <row r="39" spans="1:13" x14ac:dyDescent="0.35">
      <c r="A39" s="8">
        <v>45329</v>
      </c>
      <c r="B39" t="s">
        <v>61</v>
      </c>
      <c r="C39">
        <v>7</v>
      </c>
      <c r="D39" t="s">
        <v>11</v>
      </c>
      <c r="E39" t="s">
        <v>11</v>
      </c>
      <c r="F39">
        <f>VLOOKUP(B39,Catalogue!$A$1:$F$51,5,FALSE)</f>
        <v>44</v>
      </c>
      <c r="G39">
        <f>VLOOKUP(B39,Catalogue!$A$1:$F$51,6,FALSE)</f>
        <v>72.599999999999994</v>
      </c>
      <c r="H39">
        <f t="shared" si="0"/>
        <v>308</v>
      </c>
      <c r="I39">
        <f t="shared" si="1"/>
        <v>508.19999999999993</v>
      </c>
      <c r="J39">
        <f t="shared" si="2"/>
        <v>200.19999999999993</v>
      </c>
      <c r="K39" t="str">
        <v>Pril Dishwash Liquid</v>
      </c>
      <c r="L39" t="str">
        <f t="shared" si="3"/>
        <v>Feb</v>
      </c>
      <c r="M39" t="str">
        <v>Household Cleaning</v>
      </c>
    </row>
    <row r="40" spans="1:13" x14ac:dyDescent="0.35">
      <c r="A40" s="8">
        <v>45330</v>
      </c>
      <c r="B40" t="s">
        <v>102</v>
      </c>
      <c r="C40">
        <v>10</v>
      </c>
      <c r="D40" t="s">
        <v>13</v>
      </c>
      <c r="E40" t="s">
        <v>12</v>
      </c>
      <c r="F40">
        <f>VLOOKUP(B40,Catalogue!$A$1:$F$51,5,FALSE)</f>
        <v>133</v>
      </c>
      <c r="G40">
        <f>VLOOKUP(B40,Catalogue!$A$1:$F$51,6,FALSE)</f>
        <v>194.18</v>
      </c>
      <c r="H40">
        <f t="shared" si="0"/>
        <v>1330</v>
      </c>
      <c r="I40">
        <f t="shared" si="1"/>
        <v>1941.8000000000002</v>
      </c>
      <c r="J40">
        <f t="shared" si="2"/>
        <v>611.80000000000018</v>
      </c>
      <c r="K40" t="str">
        <v>Exo Dishwash Bar</v>
      </c>
      <c r="L40" t="str">
        <f t="shared" si="3"/>
        <v>Feb</v>
      </c>
      <c r="M40" t="str">
        <v>Household Cleaning</v>
      </c>
    </row>
    <row r="41" spans="1:13" x14ac:dyDescent="0.35">
      <c r="A41" s="8">
        <v>45331</v>
      </c>
      <c r="B41" t="s">
        <v>71</v>
      </c>
      <c r="C41">
        <v>18</v>
      </c>
      <c r="D41" t="s">
        <v>13</v>
      </c>
      <c r="E41" t="s">
        <v>12</v>
      </c>
      <c r="F41">
        <f>VLOOKUP(B41,Catalogue!$A$1:$F$51,5,FALSE)</f>
        <v>10</v>
      </c>
      <c r="G41">
        <f>VLOOKUP(B41,Catalogue!$A$1:$F$51,6,FALSE)</f>
        <v>14.600000000000001</v>
      </c>
      <c r="H41">
        <f t="shared" si="0"/>
        <v>180</v>
      </c>
      <c r="I41">
        <f t="shared" si="1"/>
        <v>262.8</v>
      </c>
      <c r="J41">
        <f t="shared" si="2"/>
        <v>82.800000000000011</v>
      </c>
      <c r="K41" t="str">
        <v>Odonil Room Freshener</v>
      </c>
      <c r="L41" t="str">
        <f t="shared" si="3"/>
        <v>Feb</v>
      </c>
      <c r="M41" t="str">
        <v>Household Cleaning</v>
      </c>
    </row>
    <row r="42" spans="1:13" x14ac:dyDescent="0.35">
      <c r="A42" s="8">
        <v>45332</v>
      </c>
      <c r="B42" t="s">
        <v>67</v>
      </c>
      <c r="C42">
        <v>13</v>
      </c>
      <c r="D42" t="s">
        <v>11</v>
      </c>
      <c r="E42" t="s">
        <v>11</v>
      </c>
      <c r="F42">
        <f>VLOOKUP(B42,Catalogue!$A$1:$F$51,5,FALSE)</f>
        <v>133</v>
      </c>
      <c r="G42">
        <f>VLOOKUP(B42,Catalogue!$A$1:$F$51,6,FALSE)</f>
        <v>146.30000000000001</v>
      </c>
      <c r="H42">
        <f t="shared" si="0"/>
        <v>1729</v>
      </c>
      <c r="I42">
        <f t="shared" si="1"/>
        <v>1901.9</v>
      </c>
      <c r="J42">
        <f t="shared" si="2"/>
        <v>172.90000000000009</v>
      </c>
      <c r="K42" t="str">
        <v>Whisper Sanitary Pads</v>
      </c>
      <c r="L42" t="str">
        <f t="shared" si="3"/>
        <v>Feb</v>
      </c>
      <c r="M42" t="str">
        <v>Paper &amp; Essentials</v>
      </c>
    </row>
    <row r="43" spans="1:13" x14ac:dyDescent="0.35">
      <c r="A43" s="8">
        <v>45333</v>
      </c>
      <c r="B43" t="s">
        <v>144</v>
      </c>
      <c r="C43">
        <v>12</v>
      </c>
      <c r="D43" t="s">
        <v>10</v>
      </c>
      <c r="E43" t="s">
        <v>12</v>
      </c>
      <c r="F43">
        <f>VLOOKUP(B43,Catalogue!$A$1:$F$51,5,FALSE)</f>
        <v>124</v>
      </c>
      <c r="G43">
        <f>VLOOKUP(B43,Catalogue!$A$1:$F$51,6,FALSE)</f>
        <v>140.12</v>
      </c>
      <c r="H43">
        <f t="shared" si="0"/>
        <v>1488</v>
      </c>
      <c r="I43">
        <f t="shared" si="1"/>
        <v>1681.44</v>
      </c>
      <c r="J43">
        <f t="shared" si="2"/>
        <v>193.44000000000005</v>
      </c>
      <c r="K43" t="str">
        <v>Sofy Pantyliners</v>
      </c>
      <c r="L43" t="str">
        <f t="shared" si="3"/>
        <v>Feb</v>
      </c>
      <c r="M43" t="str">
        <v>Paper &amp; Essentials</v>
      </c>
    </row>
    <row r="44" spans="1:13" x14ac:dyDescent="0.35">
      <c r="A44" s="8">
        <v>45334</v>
      </c>
      <c r="B44" t="s">
        <v>42</v>
      </c>
      <c r="C44">
        <v>5</v>
      </c>
      <c r="D44" t="s">
        <v>10</v>
      </c>
      <c r="E44" t="s">
        <v>12</v>
      </c>
      <c r="F44">
        <f>VLOOKUP(B44,Catalogue!$A$1:$F$51,5,FALSE)</f>
        <v>123</v>
      </c>
      <c r="G44">
        <f>VLOOKUP(B44,Catalogue!$A$1:$F$51,6,FALSE)</f>
        <v>179.58</v>
      </c>
      <c r="H44">
        <f t="shared" si="0"/>
        <v>615</v>
      </c>
      <c r="I44">
        <f t="shared" si="1"/>
        <v>897.90000000000009</v>
      </c>
      <c r="J44">
        <f t="shared" si="2"/>
        <v>282.90000000000009</v>
      </c>
      <c r="K44" t="str">
        <v>Kleenex Tissue Box</v>
      </c>
      <c r="L44" t="str">
        <f t="shared" si="3"/>
        <v>Feb</v>
      </c>
      <c r="M44" t="str">
        <v>Paper &amp; Essentials</v>
      </c>
    </row>
    <row r="45" spans="1:13" x14ac:dyDescent="0.35">
      <c r="A45" s="8">
        <v>45335</v>
      </c>
      <c r="B45" t="s">
        <v>144</v>
      </c>
      <c r="C45">
        <v>9</v>
      </c>
      <c r="D45" t="s">
        <v>11</v>
      </c>
      <c r="E45" t="s">
        <v>11</v>
      </c>
      <c r="F45">
        <f>VLOOKUP(B45,Catalogue!$A$1:$F$51,5,FALSE)</f>
        <v>124</v>
      </c>
      <c r="G45">
        <f>VLOOKUP(B45,Catalogue!$A$1:$F$51,6,FALSE)</f>
        <v>140.12</v>
      </c>
      <c r="H45">
        <f t="shared" si="0"/>
        <v>1116</v>
      </c>
      <c r="I45">
        <f t="shared" si="1"/>
        <v>1261.08</v>
      </c>
      <c r="J45">
        <f t="shared" si="2"/>
        <v>145.07999999999993</v>
      </c>
      <c r="K45" t="str">
        <v>Origami Kitchen Towels</v>
      </c>
      <c r="L45" t="str">
        <f t="shared" si="3"/>
        <v>Feb</v>
      </c>
      <c r="M45" t="str">
        <v>Paper &amp; Essentials</v>
      </c>
    </row>
    <row r="46" spans="1:13" x14ac:dyDescent="0.35">
      <c r="A46" s="8">
        <v>45336</v>
      </c>
      <c r="B46" t="s">
        <v>93</v>
      </c>
      <c r="C46">
        <v>13</v>
      </c>
      <c r="D46" t="s">
        <v>10</v>
      </c>
      <c r="E46" t="s">
        <v>12</v>
      </c>
      <c r="F46">
        <f>VLOOKUP(B46,Catalogue!$A$1:$F$51,5,FALSE)</f>
        <v>105</v>
      </c>
      <c r="G46">
        <f>VLOOKUP(B46,Catalogue!$A$1:$F$51,6,FALSE)</f>
        <v>117.6</v>
      </c>
      <c r="H46">
        <f t="shared" si="0"/>
        <v>1365</v>
      </c>
      <c r="I46">
        <f t="shared" si="1"/>
        <v>1528.8</v>
      </c>
      <c r="J46">
        <f t="shared" si="2"/>
        <v>163.79999999999995</v>
      </c>
      <c r="K46" t="str">
        <v>Stayfree Ultra</v>
      </c>
      <c r="L46" t="str">
        <f t="shared" si="3"/>
        <v>Feb</v>
      </c>
      <c r="M46" t="str">
        <v>Paper &amp; Essentials</v>
      </c>
    </row>
    <row r="47" spans="1:13" x14ac:dyDescent="0.35">
      <c r="A47" s="8">
        <v>45337</v>
      </c>
      <c r="B47" t="s">
        <v>78</v>
      </c>
      <c r="C47">
        <v>3</v>
      </c>
      <c r="D47" t="s">
        <v>10</v>
      </c>
      <c r="E47" t="s">
        <v>11</v>
      </c>
      <c r="F47">
        <f>VLOOKUP(B47,Catalogue!$A$1:$F$51,5,FALSE)</f>
        <v>10</v>
      </c>
      <c r="G47">
        <f>VLOOKUP(B47,Catalogue!$A$1:$F$51,6,FALSE)</f>
        <v>11.2</v>
      </c>
      <c r="H47">
        <f t="shared" si="0"/>
        <v>30</v>
      </c>
      <c r="I47">
        <f t="shared" si="1"/>
        <v>33.599999999999994</v>
      </c>
      <c r="J47">
        <f t="shared" si="2"/>
        <v>3.5999999999999943</v>
      </c>
      <c r="K47" t="str">
        <v>Scott Toilet Paper</v>
      </c>
      <c r="L47" t="str">
        <f t="shared" si="3"/>
        <v>Feb</v>
      </c>
      <c r="M47" t="str">
        <v>Paper &amp; Essentials</v>
      </c>
    </row>
    <row r="48" spans="1:13" x14ac:dyDescent="0.35">
      <c r="A48" s="8">
        <v>45338</v>
      </c>
      <c r="B48" t="s">
        <v>113</v>
      </c>
      <c r="C48">
        <v>12</v>
      </c>
      <c r="D48" t="s">
        <v>11</v>
      </c>
      <c r="E48" t="s">
        <v>12</v>
      </c>
      <c r="F48">
        <f>VLOOKUP(B48,Catalogue!$A$1:$F$51,5,FALSE)</f>
        <v>10</v>
      </c>
      <c r="G48">
        <f>VLOOKUP(B48,Catalogue!$A$1:$F$51,6,FALSE)</f>
        <v>11.3</v>
      </c>
      <c r="H48">
        <f t="shared" si="0"/>
        <v>120</v>
      </c>
      <c r="I48">
        <f t="shared" si="1"/>
        <v>135.60000000000002</v>
      </c>
      <c r="J48">
        <f t="shared" si="2"/>
        <v>15.600000000000023</v>
      </c>
      <c r="K48" t="str">
        <v>Bella Napkins</v>
      </c>
      <c r="L48" t="str">
        <f t="shared" si="3"/>
        <v>Feb</v>
      </c>
      <c r="M48" t="str">
        <v>Paper &amp; Essentials</v>
      </c>
    </row>
    <row r="49" spans="1:13" x14ac:dyDescent="0.35">
      <c r="A49" s="8">
        <v>45339</v>
      </c>
      <c r="B49" t="s">
        <v>87</v>
      </c>
      <c r="C49">
        <v>7</v>
      </c>
      <c r="D49" t="s">
        <v>13</v>
      </c>
      <c r="E49" t="s">
        <v>11</v>
      </c>
      <c r="F49">
        <f>VLOOKUP(B49,Catalogue!$A$1:$F$51,5,FALSE)</f>
        <v>12</v>
      </c>
      <c r="G49">
        <f>VLOOKUP(B49,Catalogue!$A$1:$F$51,6,FALSE)</f>
        <v>16.920000000000002</v>
      </c>
      <c r="H49">
        <f t="shared" si="0"/>
        <v>84</v>
      </c>
      <c r="I49">
        <f t="shared" si="1"/>
        <v>118.44000000000001</v>
      </c>
      <c r="J49">
        <f t="shared" si="2"/>
        <v>34.440000000000012</v>
      </c>
      <c r="K49" t="str">
        <v>Everteen Wipes</v>
      </c>
      <c r="L49" t="str">
        <f t="shared" si="3"/>
        <v>Feb</v>
      </c>
      <c r="M49" t="str">
        <v>Paper &amp; Essentials</v>
      </c>
    </row>
    <row r="50" spans="1:13" x14ac:dyDescent="0.35">
      <c r="A50" s="8">
        <v>45340</v>
      </c>
      <c r="B50" t="s">
        <v>156</v>
      </c>
      <c r="C50">
        <v>15</v>
      </c>
      <c r="D50" t="s">
        <v>13</v>
      </c>
      <c r="E50" t="s">
        <v>12</v>
      </c>
      <c r="F50">
        <f>VLOOKUP(B50,Catalogue!$A$1:$F$51,5,FALSE)</f>
        <v>123</v>
      </c>
      <c r="G50">
        <f>VLOOKUP(B50,Catalogue!$A$1:$F$51,6,FALSE)</f>
        <v>135.30000000000001</v>
      </c>
      <c r="H50">
        <f t="shared" si="0"/>
        <v>1845</v>
      </c>
      <c r="I50">
        <f t="shared" si="1"/>
        <v>2029.5000000000002</v>
      </c>
      <c r="J50">
        <f t="shared" si="2"/>
        <v>184.50000000000023</v>
      </c>
      <c r="K50" t="str">
        <v>Premier Facial Tissues</v>
      </c>
      <c r="L50" t="str">
        <f t="shared" si="3"/>
        <v>Feb</v>
      </c>
      <c r="M50" t="str">
        <v>Paper &amp; Essentials</v>
      </c>
    </row>
    <row r="51" spans="1:13" x14ac:dyDescent="0.35">
      <c r="A51" s="8">
        <v>45341</v>
      </c>
      <c r="B51" t="s">
        <v>78</v>
      </c>
      <c r="C51">
        <v>8</v>
      </c>
      <c r="D51" t="s">
        <v>11</v>
      </c>
      <c r="E51" t="s">
        <v>12</v>
      </c>
      <c r="F51">
        <f>VLOOKUP(B51,Catalogue!$A$1:$F$51,5,FALSE)</f>
        <v>10</v>
      </c>
      <c r="G51">
        <f>VLOOKUP(B51,Catalogue!$A$1:$F$51,6,FALSE)</f>
        <v>11.2</v>
      </c>
      <c r="H51">
        <f t="shared" si="0"/>
        <v>80</v>
      </c>
      <c r="I51">
        <f t="shared" si="1"/>
        <v>89.6</v>
      </c>
      <c r="J51">
        <f t="shared" si="2"/>
        <v>9.5999999999999943</v>
      </c>
      <c r="K51" t="str">
        <v>Wet Wipes - Himalaya</v>
      </c>
      <c r="L51" t="str">
        <f t="shared" si="3"/>
        <v>Feb</v>
      </c>
      <c r="M51" t="str">
        <v>Paper &amp; Essentials</v>
      </c>
    </row>
    <row r="52" spans="1:13" x14ac:dyDescent="0.35">
      <c r="A52" s="8">
        <v>45342</v>
      </c>
      <c r="B52" t="s">
        <v>116</v>
      </c>
      <c r="C52">
        <v>5</v>
      </c>
      <c r="D52" t="s">
        <v>10</v>
      </c>
      <c r="E52" t="s">
        <v>11</v>
      </c>
      <c r="F52">
        <f>VLOOKUP(B52,Catalogue!$A$1:$F$51,5,FALSE)</f>
        <v>123</v>
      </c>
      <c r="G52">
        <f>VLOOKUP(B52,Catalogue!$A$1:$F$51,6,FALSE)</f>
        <v>173.43</v>
      </c>
      <c r="H52">
        <f t="shared" si="0"/>
        <v>615</v>
      </c>
      <c r="I52">
        <f t="shared" si="1"/>
        <v>867.15000000000009</v>
      </c>
      <c r="J52">
        <f t="shared" si="2"/>
        <v>252.15000000000009</v>
      </c>
      <c r="K52" t="str" cm="1">
        <f t="array" ref="K52:K101">Catalogue!B2:B51</f>
        <v>Dove Soap</v>
      </c>
      <c r="L52" t="str">
        <f t="shared" si="3"/>
        <v>Feb</v>
      </c>
      <c r="M52" t="str" cm="1">
        <f t="array" ref="M52:M101">Catalogue!C2:C51</f>
        <v>Personal Care</v>
      </c>
    </row>
    <row r="53" spans="1:13" x14ac:dyDescent="0.35">
      <c r="A53" s="8">
        <v>45343</v>
      </c>
      <c r="B53" t="s">
        <v>36</v>
      </c>
      <c r="C53">
        <v>20</v>
      </c>
      <c r="D53" t="s">
        <v>10</v>
      </c>
      <c r="E53" t="s">
        <v>12</v>
      </c>
      <c r="F53">
        <f>VLOOKUP(B53,Catalogue!$A$1:$F$51,5,FALSE)</f>
        <v>16</v>
      </c>
      <c r="G53">
        <f>VLOOKUP(B53,Catalogue!$A$1:$F$51,6,FALSE)</f>
        <v>17.600000000000001</v>
      </c>
      <c r="H53">
        <f t="shared" si="0"/>
        <v>320</v>
      </c>
      <c r="I53">
        <f t="shared" si="1"/>
        <v>352</v>
      </c>
      <c r="J53">
        <f t="shared" si="2"/>
        <v>32</v>
      </c>
      <c r="K53" t="str">
        <v>Colgate Toothpaste</v>
      </c>
      <c r="L53" t="str">
        <f t="shared" si="3"/>
        <v>Feb</v>
      </c>
      <c r="M53" t="str">
        <v>Personal Care</v>
      </c>
    </row>
    <row r="54" spans="1:13" x14ac:dyDescent="0.35">
      <c r="A54" s="8">
        <v>45344</v>
      </c>
      <c r="B54" t="s">
        <v>96</v>
      </c>
      <c r="C54">
        <v>10</v>
      </c>
      <c r="D54" t="s">
        <v>11</v>
      </c>
      <c r="E54" t="s">
        <v>12</v>
      </c>
      <c r="F54">
        <f>VLOOKUP(B54,Catalogue!$A$1:$F$51,5,FALSE)</f>
        <v>44</v>
      </c>
      <c r="G54">
        <f>VLOOKUP(B54,Catalogue!$A$1:$F$51,6,FALSE)</f>
        <v>48.4</v>
      </c>
      <c r="H54">
        <f t="shared" si="0"/>
        <v>440</v>
      </c>
      <c r="I54">
        <f t="shared" si="1"/>
        <v>484</v>
      </c>
      <c r="J54">
        <f t="shared" si="2"/>
        <v>44</v>
      </c>
      <c r="K54" t="str">
        <v>Lifebuoy Handwash</v>
      </c>
      <c r="L54" t="str">
        <f t="shared" si="3"/>
        <v>Feb</v>
      </c>
      <c r="M54" t="str">
        <v>Personal Care</v>
      </c>
    </row>
    <row r="55" spans="1:13" x14ac:dyDescent="0.35">
      <c r="A55" s="8">
        <v>45345</v>
      </c>
      <c r="B55" t="s">
        <v>150</v>
      </c>
      <c r="C55">
        <v>12</v>
      </c>
      <c r="D55" t="s">
        <v>10</v>
      </c>
      <c r="E55" t="s">
        <v>11</v>
      </c>
      <c r="F55">
        <f>VLOOKUP(B55,Catalogue!$A$1:$F$51,5,FALSE)</f>
        <v>16</v>
      </c>
      <c r="G55">
        <f>VLOOKUP(B55,Catalogue!$A$1:$F$51,6,FALSE)</f>
        <v>26.4</v>
      </c>
      <c r="H55">
        <f t="shared" si="0"/>
        <v>192</v>
      </c>
      <c r="I55">
        <f t="shared" si="1"/>
        <v>316.79999999999995</v>
      </c>
      <c r="J55">
        <f t="shared" si="2"/>
        <v>124.79999999999995</v>
      </c>
      <c r="K55" t="str">
        <v>Nivea Body Lotion</v>
      </c>
      <c r="L55" t="str">
        <f t="shared" si="3"/>
        <v>Feb</v>
      </c>
      <c r="M55" t="str">
        <v>Personal Care</v>
      </c>
    </row>
    <row r="56" spans="1:13" x14ac:dyDescent="0.35">
      <c r="A56" s="8">
        <v>45346</v>
      </c>
      <c r="B56" t="s">
        <v>162</v>
      </c>
      <c r="C56">
        <v>5</v>
      </c>
      <c r="D56" t="s">
        <v>10</v>
      </c>
      <c r="E56" t="s">
        <v>12</v>
      </c>
      <c r="F56">
        <f>VLOOKUP(B56,Catalogue!$A$1:$F$51,5,FALSE)</f>
        <v>12</v>
      </c>
      <c r="G56">
        <f>VLOOKUP(B56,Catalogue!$A$1:$F$51,6,FALSE)</f>
        <v>17.52</v>
      </c>
      <c r="H56">
        <f t="shared" si="0"/>
        <v>60</v>
      </c>
      <c r="I56">
        <f t="shared" si="1"/>
        <v>87.6</v>
      </c>
      <c r="J56">
        <f t="shared" si="2"/>
        <v>27.599999999999994</v>
      </c>
      <c r="K56" t="str">
        <v>Gillette Shaving Foam</v>
      </c>
      <c r="L56" t="str">
        <f t="shared" si="3"/>
        <v>Feb</v>
      </c>
      <c r="M56" t="str">
        <v>Personal Care</v>
      </c>
    </row>
    <row r="57" spans="1:13" x14ac:dyDescent="0.35">
      <c r="A57" s="8">
        <v>45347</v>
      </c>
      <c r="B57" t="s">
        <v>150</v>
      </c>
      <c r="C57">
        <v>3</v>
      </c>
      <c r="D57" t="s">
        <v>11</v>
      </c>
      <c r="E57" t="s">
        <v>11</v>
      </c>
      <c r="F57">
        <f>VLOOKUP(B57,Catalogue!$A$1:$F$51,5,FALSE)</f>
        <v>16</v>
      </c>
      <c r="G57">
        <f>VLOOKUP(B57,Catalogue!$A$1:$F$51,6,FALSE)</f>
        <v>26.4</v>
      </c>
      <c r="H57">
        <f t="shared" si="0"/>
        <v>48</v>
      </c>
      <c r="I57">
        <f t="shared" si="1"/>
        <v>79.199999999999989</v>
      </c>
      <c r="J57">
        <f t="shared" si="2"/>
        <v>31.199999999999989</v>
      </c>
      <c r="K57" t="str">
        <v>Pantene Shampoo</v>
      </c>
      <c r="L57" t="str">
        <f t="shared" si="3"/>
        <v>Feb</v>
      </c>
      <c r="M57" t="str">
        <v>Personal Care</v>
      </c>
    </row>
    <row r="58" spans="1:13" x14ac:dyDescent="0.35">
      <c r="A58" s="8">
        <v>45348</v>
      </c>
      <c r="B58" t="s">
        <v>147</v>
      </c>
      <c r="C58">
        <v>8</v>
      </c>
      <c r="D58" t="s">
        <v>13</v>
      </c>
      <c r="E58" t="s">
        <v>12</v>
      </c>
      <c r="F58">
        <f>VLOOKUP(B58,Catalogue!$A$1:$F$51,5,FALSE)</f>
        <v>10</v>
      </c>
      <c r="G58">
        <f>VLOOKUP(B58,Catalogue!$A$1:$F$51,6,FALSE)</f>
        <v>14.100000000000001</v>
      </c>
      <c r="H58">
        <f t="shared" si="0"/>
        <v>80</v>
      </c>
      <c r="I58">
        <f t="shared" si="1"/>
        <v>112.80000000000001</v>
      </c>
      <c r="J58">
        <f t="shared" si="2"/>
        <v>32.800000000000011</v>
      </c>
      <c r="K58" t="str">
        <v>Dettol Antiseptic Liquid</v>
      </c>
      <c r="L58" t="str">
        <f t="shared" si="3"/>
        <v>Feb</v>
      </c>
      <c r="M58" t="str">
        <v>Personal Care</v>
      </c>
    </row>
    <row r="59" spans="1:13" x14ac:dyDescent="0.35">
      <c r="A59" s="8">
        <v>45349</v>
      </c>
      <c r="B59" t="s">
        <v>84</v>
      </c>
      <c r="C59">
        <v>7</v>
      </c>
      <c r="D59" t="s">
        <v>13</v>
      </c>
      <c r="E59" t="s">
        <v>11</v>
      </c>
      <c r="F59">
        <f>VLOOKUP(B59,Catalogue!$A$1:$F$51,5,FALSE)</f>
        <v>136</v>
      </c>
      <c r="G59">
        <f>VLOOKUP(B59,Catalogue!$A$1:$F$51,6,FALSE)</f>
        <v>153.68</v>
      </c>
      <c r="H59">
        <f t="shared" si="0"/>
        <v>952</v>
      </c>
      <c r="I59">
        <f t="shared" si="1"/>
        <v>1075.76</v>
      </c>
      <c r="J59">
        <f t="shared" si="2"/>
        <v>123.75999999999999</v>
      </c>
      <c r="K59" t="str">
        <v>Himalaya Face Wash</v>
      </c>
      <c r="L59" t="str">
        <f t="shared" si="3"/>
        <v>Feb</v>
      </c>
      <c r="M59" t="str">
        <v>Personal Care</v>
      </c>
    </row>
    <row r="60" spans="1:13" x14ac:dyDescent="0.35">
      <c r="A60" s="8">
        <v>45350</v>
      </c>
      <c r="B60" t="s">
        <v>74</v>
      </c>
      <c r="C60">
        <v>6</v>
      </c>
      <c r="D60" t="s">
        <v>11</v>
      </c>
      <c r="E60" t="s">
        <v>12</v>
      </c>
      <c r="F60">
        <f>VLOOKUP(B60,Catalogue!$A$1:$F$51,5,FALSE)</f>
        <v>16</v>
      </c>
      <c r="G60">
        <f>VLOOKUP(B60,Catalogue!$A$1:$F$51,6,FALSE)</f>
        <v>21.12</v>
      </c>
      <c r="H60">
        <f t="shared" si="0"/>
        <v>96</v>
      </c>
      <c r="I60">
        <f t="shared" si="1"/>
        <v>126.72</v>
      </c>
      <c r="J60">
        <f t="shared" si="2"/>
        <v>30.72</v>
      </c>
      <c r="K60" t="str">
        <v>Vaseline Lip Care</v>
      </c>
      <c r="L60" t="str">
        <f t="shared" si="3"/>
        <v>Feb</v>
      </c>
      <c r="M60" t="str">
        <v>Personal Care</v>
      </c>
    </row>
    <row r="61" spans="1:13" x14ac:dyDescent="0.35">
      <c r="A61" s="8">
        <v>45351</v>
      </c>
      <c r="B61" t="s">
        <v>156</v>
      </c>
      <c r="C61">
        <v>1</v>
      </c>
      <c r="D61" t="s">
        <v>10</v>
      </c>
      <c r="E61" t="s">
        <v>12</v>
      </c>
      <c r="F61">
        <f>VLOOKUP(B61,Catalogue!$A$1:$F$51,5,FALSE)</f>
        <v>123</v>
      </c>
      <c r="G61">
        <f>VLOOKUP(B61,Catalogue!$A$1:$F$51,6,FALSE)</f>
        <v>135.30000000000001</v>
      </c>
      <c r="H61">
        <f t="shared" si="0"/>
        <v>123</v>
      </c>
      <c r="I61">
        <f t="shared" si="1"/>
        <v>135.30000000000001</v>
      </c>
      <c r="J61">
        <f t="shared" si="2"/>
        <v>12.300000000000011</v>
      </c>
      <c r="K61" t="str">
        <v>Johnson’s Baby Powder</v>
      </c>
      <c r="L61" t="str">
        <f t="shared" si="3"/>
        <v>Feb</v>
      </c>
      <c r="M61" t="str">
        <v>Personal Care</v>
      </c>
    </row>
    <row r="62" spans="1:13" x14ac:dyDescent="0.35">
      <c r="A62" s="8">
        <v>45352</v>
      </c>
      <c r="B62" t="s">
        <v>99</v>
      </c>
      <c r="C62">
        <v>14</v>
      </c>
      <c r="D62" t="s">
        <v>10</v>
      </c>
      <c r="E62" t="s">
        <v>11</v>
      </c>
      <c r="F62">
        <f>VLOOKUP(B62,Catalogue!$A$1:$F$51,5,FALSE)</f>
        <v>71</v>
      </c>
      <c r="G62">
        <f>VLOOKUP(B62,Catalogue!$A$1:$F$51,6,FALSE)</f>
        <v>95.85</v>
      </c>
      <c r="H62">
        <f t="shared" si="0"/>
        <v>994</v>
      </c>
      <c r="I62">
        <f t="shared" si="1"/>
        <v>1341.8999999999999</v>
      </c>
      <c r="J62">
        <f t="shared" si="2"/>
        <v>347.89999999999986</v>
      </c>
      <c r="K62" t="str">
        <v>Coca-Cola Can</v>
      </c>
      <c r="L62" t="str">
        <f t="shared" si="3"/>
        <v>Mar</v>
      </c>
      <c r="M62" t="str">
        <v>Beverages</v>
      </c>
    </row>
    <row r="63" spans="1:13" x14ac:dyDescent="0.35">
      <c r="A63" s="8">
        <v>45353</v>
      </c>
      <c r="B63" t="s">
        <v>99</v>
      </c>
      <c r="C63">
        <v>20</v>
      </c>
      <c r="D63" t="s">
        <v>11</v>
      </c>
      <c r="E63" t="s">
        <v>12</v>
      </c>
      <c r="F63">
        <f>VLOOKUP(B63,Catalogue!$A$1:$F$51,5,FALSE)</f>
        <v>71</v>
      </c>
      <c r="G63">
        <f>VLOOKUP(B63,Catalogue!$A$1:$F$51,6,FALSE)</f>
        <v>95.85</v>
      </c>
      <c r="H63">
        <f t="shared" si="0"/>
        <v>1420</v>
      </c>
      <c r="I63">
        <f t="shared" si="1"/>
        <v>1917</v>
      </c>
      <c r="J63">
        <f t="shared" si="2"/>
        <v>497</v>
      </c>
      <c r="K63" t="str">
        <v>Pepsi Bottle</v>
      </c>
      <c r="L63" t="str">
        <f t="shared" si="3"/>
        <v>Mar</v>
      </c>
      <c r="M63" t="str">
        <v>Beverages</v>
      </c>
    </row>
    <row r="64" spans="1:13" x14ac:dyDescent="0.35">
      <c r="A64" s="8">
        <v>45354</v>
      </c>
      <c r="B64" t="s">
        <v>93</v>
      </c>
      <c r="C64">
        <v>13</v>
      </c>
      <c r="D64" t="s">
        <v>10</v>
      </c>
      <c r="E64" t="s">
        <v>12</v>
      </c>
      <c r="F64">
        <f>VLOOKUP(B64,Catalogue!$A$1:$F$51,5,FALSE)</f>
        <v>105</v>
      </c>
      <c r="G64">
        <f>VLOOKUP(B64,Catalogue!$A$1:$F$51,6,FALSE)</f>
        <v>117.6</v>
      </c>
      <c r="H64">
        <f t="shared" si="0"/>
        <v>1365</v>
      </c>
      <c r="I64">
        <f t="shared" si="1"/>
        <v>1528.8</v>
      </c>
      <c r="J64">
        <f t="shared" si="2"/>
        <v>163.79999999999995</v>
      </c>
      <c r="K64" t="str">
        <v>Red Bull</v>
      </c>
      <c r="L64" t="str">
        <f t="shared" si="3"/>
        <v>Mar</v>
      </c>
      <c r="M64" t="str">
        <v>Beverages</v>
      </c>
    </row>
    <row r="65" spans="1:13" x14ac:dyDescent="0.35">
      <c r="A65" s="8">
        <v>45355</v>
      </c>
      <c r="B65" t="s">
        <v>128</v>
      </c>
      <c r="C65">
        <v>10</v>
      </c>
      <c r="D65" t="s">
        <v>10</v>
      </c>
      <c r="E65" t="s">
        <v>11</v>
      </c>
      <c r="F65">
        <f>VLOOKUP(B65,Catalogue!$A$1:$F$51,5,FALSE)</f>
        <v>98</v>
      </c>
      <c r="G65">
        <f>VLOOKUP(B65,Catalogue!$A$1:$F$51,6,FALSE)</f>
        <v>132.30000000000001</v>
      </c>
      <c r="H65">
        <f t="shared" si="0"/>
        <v>980</v>
      </c>
      <c r="I65">
        <f t="shared" si="1"/>
        <v>1323</v>
      </c>
      <c r="J65">
        <f t="shared" si="2"/>
        <v>343</v>
      </c>
      <c r="K65" t="str">
        <v>Tropicana Orange Juice</v>
      </c>
      <c r="L65" t="str">
        <f t="shared" si="3"/>
        <v>Mar</v>
      </c>
      <c r="M65" t="str">
        <v>Beverages</v>
      </c>
    </row>
    <row r="66" spans="1:13" x14ac:dyDescent="0.35">
      <c r="A66" s="8">
        <v>45356</v>
      </c>
      <c r="B66" t="s">
        <v>45</v>
      </c>
      <c r="C66">
        <v>20</v>
      </c>
      <c r="D66" t="s">
        <v>11</v>
      </c>
      <c r="E66" t="s">
        <v>12</v>
      </c>
      <c r="F66">
        <f>VLOOKUP(B66,Catalogue!$A$1:$F$51,5,FALSE)</f>
        <v>136</v>
      </c>
      <c r="G66">
        <f>VLOOKUP(B66,Catalogue!$A$1:$F$51,6,FALSE)</f>
        <v>179.52</v>
      </c>
      <c r="H66">
        <f t="shared" si="0"/>
        <v>2720</v>
      </c>
      <c r="I66">
        <f t="shared" si="1"/>
        <v>3590.4</v>
      </c>
      <c r="J66">
        <f t="shared" si="2"/>
        <v>870.40000000000009</v>
      </c>
      <c r="K66" t="str">
        <v>Minute Maid Pulpy</v>
      </c>
      <c r="L66" t="str">
        <f t="shared" si="3"/>
        <v>Mar</v>
      </c>
      <c r="M66" t="str">
        <v>Beverages</v>
      </c>
    </row>
    <row r="67" spans="1:13" x14ac:dyDescent="0.35">
      <c r="A67" s="8">
        <v>45357</v>
      </c>
      <c r="B67" t="s">
        <v>159</v>
      </c>
      <c r="C67">
        <v>18</v>
      </c>
      <c r="D67" t="s">
        <v>13</v>
      </c>
      <c r="E67" t="s">
        <v>11</v>
      </c>
      <c r="F67">
        <f>VLOOKUP(B67,Catalogue!$A$1:$F$51,5,FALSE)</f>
        <v>136</v>
      </c>
      <c r="G67">
        <f>VLOOKUP(B67,Catalogue!$A$1:$F$51,6,FALSE)</f>
        <v>183.6</v>
      </c>
      <c r="H67">
        <f t="shared" ref="H67:H130" si="4">C67*F67</f>
        <v>2448</v>
      </c>
      <c r="I67">
        <f t="shared" ref="I67:I130" si="5">C67*G67</f>
        <v>3304.7999999999997</v>
      </c>
      <c r="J67">
        <f t="shared" ref="J67:J130" si="6">I67-H67</f>
        <v>856.79999999999973</v>
      </c>
      <c r="K67" t="str">
        <v>Frooti Mango Drink</v>
      </c>
      <c r="L67" t="str">
        <f t="shared" ref="L67:L130" si="7">TEXT(A67,"mmm")</f>
        <v>Mar</v>
      </c>
      <c r="M67" t="str">
        <v>Beverages</v>
      </c>
    </row>
    <row r="68" spans="1:13" x14ac:dyDescent="0.35">
      <c r="A68" s="8">
        <v>45358</v>
      </c>
      <c r="B68" t="s">
        <v>111</v>
      </c>
      <c r="C68">
        <v>20</v>
      </c>
      <c r="D68" t="s">
        <v>13</v>
      </c>
      <c r="E68" t="s">
        <v>12</v>
      </c>
      <c r="F68">
        <f>VLOOKUP(B68,Catalogue!$A$1:$F$51,5,FALSE)</f>
        <v>16</v>
      </c>
      <c r="G68">
        <f>VLOOKUP(B68,Catalogue!$A$1:$F$51,6,FALSE)</f>
        <v>18.240000000000002</v>
      </c>
      <c r="H68">
        <f t="shared" si="4"/>
        <v>320</v>
      </c>
      <c r="I68">
        <f t="shared" si="5"/>
        <v>364.80000000000007</v>
      </c>
      <c r="J68">
        <f t="shared" si="6"/>
        <v>44.800000000000068</v>
      </c>
      <c r="K68" t="str">
        <v>Nestlé Iced Tea</v>
      </c>
      <c r="L68" t="str">
        <f t="shared" si="7"/>
        <v>Mar</v>
      </c>
      <c r="M68" t="str">
        <v>Beverages</v>
      </c>
    </row>
    <row r="69" spans="1:13" x14ac:dyDescent="0.35">
      <c r="A69" s="8">
        <v>45359</v>
      </c>
      <c r="B69" t="s">
        <v>125</v>
      </c>
      <c r="C69">
        <v>3</v>
      </c>
      <c r="D69" t="s">
        <v>11</v>
      </c>
      <c r="E69" t="s">
        <v>11</v>
      </c>
      <c r="F69">
        <f>VLOOKUP(B69,Catalogue!$A$1:$F$51,5,FALSE)</f>
        <v>63</v>
      </c>
      <c r="G69">
        <f>VLOOKUP(B69,Catalogue!$A$1:$F$51,6,FALSE)</f>
        <v>69.3</v>
      </c>
      <c r="H69">
        <f t="shared" si="4"/>
        <v>189</v>
      </c>
      <c r="I69">
        <f t="shared" si="5"/>
        <v>207.89999999999998</v>
      </c>
      <c r="J69">
        <f t="shared" si="6"/>
        <v>18.899999999999977</v>
      </c>
      <c r="K69" t="str">
        <v>Real Mixed Fruit Juice</v>
      </c>
      <c r="L69" t="str">
        <f t="shared" si="7"/>
        <v>Mar</v>
      </c>
      <c r="M69" t="str">
        <v>Beverages</v>
      </c>
    </row>
    <row r="70" spans="1:13" x14ac:dyDescent="0.35">
      <c r="A70" s="8">
        <v>45360</v>
      </c>
      <c r="B70" t="s">
        <v>39</v>
      </c>
      <c r="C70">
        <v>17</v>
      </c>
      <c r="D70" t="s">
        <v>10</v>
      </c>
      <c r="E70" t="s">
        <v>12</v>
      </c>
      <c r="F70">
        <f>VLOOKUP(B70,Catalogue!$A$1:$F$51,5,FALSE)</f>
        <v>10</v>
      </c>
      <c r="G70">
        <f>VLOOKUP(B70,Catalogue!$A$1:$F$51,6,FALSE)</f>
        <v>13.5</v>
      </c>
      <c r="H70">
        <f t="shared" si="4"/>
        <v>170</v>
      </c>
      <c r="I70">
        <f t="shared" si="5"/>
        <v>229.5</v>
      </c>
      <c r="J70">
        <f t="shared" si="6"/>
        <v>59.5</v>
      </c>
      <c r="K70" t="str">
        <v>Amul Kool Flavored Milk</v>
      </c>
      <c r="L70" t="str">
        <f t="shared" si="7"/>
        <v>Mar</v>
      </c>
      <c r="M70" t="str">
        <v>Beverages</v>
      </c>
    </row>
    <row r="71" spans="1:13" x14ac:dyDescent="0.35">
      <c r="A71" s="8">
        <v>45361</v>
      </c>
      <c r="B71" t="s">
        <v>14</v>
      </c>
      <c r="C71">
        <v>13</v>
      </c>
      <c r="D71" t="s">
        <v>10</v>
      </c>
      <c r="E71" t="s">
        <v>12</v>
      </c>
      <c r="F71">
        <f>VLOOKUP(B71,Catalogue!$A$1:$F$51,5,FALSE)</f>
        <v>98</v>
      </c>
      <c r="G71">
        <f>VLOOKUP(B71,Catalogue!$A$1:$F$51,6,FALSE)</f>
        <v>129.36000000000001</v>
      </c>
      <c r="H71">
        <f t="shared" si="4"/>
        <v>1274</v>
      </c>
      <c r="I71">
        <f t="shared" si="5"/>
        <v>1681.6800000000003</v>
      </c>
      <c r="J71">
        <f t="shared" si="6"/>
        <v>407.68000000000029</v>
      </c>
      <c r="K71" t="str">
        <v>Paper Boat Aam Panna</v>
      </c>
      <c r="L71" t="str">
        <f t="shared" si="7"/>
        <v>Mar</v>
      </c>
      <c r="M71" t="str">
        <v>Beverages</v>
      </c>
    </row>
    <row r="72" spans="1:13" x14ac:dyDescent="0.35">
      <c r="A72" s="8">
        <v>45362</v>
      </c>
      <c r="B72" t="s">
        <v>111</v>
      </c>
      <c r="C72">
        <v>8</v>
      </c>
      <c r="D72" t="s">
        <v>11</v>
      </c>
      <c r="E72" t="s">
        <v>11</v>
      </c>
      <c r="F72">
        <f>VLOOKUP(B72,Catalogue!$A$1:$F$51,5,FALSE)</f>
        <v>16</v>
      </c>
      <c r="G72">
        <f>VLOOKUP(B72,Catalogue!$A$1:$F$51,6,FALSE)</f>
        <v>18.240000000000002</v>
      </c>
      <c r="H72">
        <f t="shared" si="4"/>
        <v>128</v>
      </c>
      <c r="I72">
        <f t="shared" si="5"/>
        <v>145.92000000000002</v>
      </c>
      <c r="J72">
        <f t="shared" si="6"/>
        <v>17.920000000000016</v>
      </c>
      <c r="K72" t="str">
        <v>Maggi Noodles</v>
      </c>
      <c r="L72" t="str">
        <f t="shared" si="7"/>
        <v>Mar</v>
      </c>
      <c r="M72" t="str">
        <v>Packaged Foods</v>
      </c>
    </row>
    <row r="73" spans="1:13" x14ac:dyDescent="0.35">
      <c r="A73" s="8">
        <v>45363</v>
      </c>
      <c r="B73" t="s">
        <v>64</v>
      </c>
      <c r="C73">
        <v>6</v>
      </c>
      <c r="D73" t="s">
        <v>10</v>
      </c>
      <c r="E73" t="s">
        <v>12</v>
      </c>
      <c r="F73">
        <f>VLOOKUP(B73,Catalogue!$A$1:$F$51,5,FALSE)</f>
        <v>71</v>
      </c>
      <c r="G73">
        <f>VLOOKUP(B73,Catalogue!$A$1:$F$51,6,FALSE)</f>
        <v>79.52</v>
      </c>
      <c r="H73">
        <f t="shared" si="4"/>
        <v>426</v>
      </c>
      <c r="I73">
        <f t="shared" si="5"/>
        <v>477.12</v>
      </c>
      <c r="J73">
        <f t="shared" si="6"/>
        <v>51.120000000000005</v>
      </c>
      <c r="K73" t="str">
        <v>Sunfeast Biscuits</v>
      </c>
      <c r="L73" t="str">
        <f t="shared" si="7"/>
        <v>Mar</v>
      </c>
      <c r="M73" t="str">
        <v>Packaged Foods</v>
      </c>
    </row>
    <row r="74" spans="1:13" x14ac:dyDescent="0.35">
      <c r="A74" s="8">
        <v>45364</v>
      </c>
      <c r="B74" t="s">
        <v>116</v>
      </c>
      <c r="C74">
        <v>1</v>
      </c>
      <c r="D74" t="s">
        <v>10</v>
      </c>
      <c r="E74" t="s">
        <v>12</v>
      </c>
      <c r="F74">
        <f>VLOOKUP(B74,Catalogue!$A$1:$F$51,5,FALSE)</f>
        <v>123</v>
      </c>
      <c r="G74">
        <f>VLOOKUP(B74,Catalogue!$A$1:$F$51,6,FALSE)</f>
        <v>173.43</v>
      </c>
      <c r="H74">
        <f t="shared" si="4"/>
        <v>123</v>
      </c>
      <c r="I74">
        <f t="shared" si="5"/>
        <v>173.43</v>
      </c>
      <c r="J74">
        <f t="shared" si="6"/>
        <v>50.430000000000007</v>
      </c>
      <c r="K74" t="str">
        <v>Nestlé Cerelac</v>
      </c>
      <c r="L74" t="str">
        <f t="shared" si="7"/>
        <v>Mar</v>
      </c>
      <c r="M74" t="str">
        <v>Packaged Foods</v>
      </c>
    </row>
    <row r="75" spans="1:13" x14ac:dyDescent="0.35">
      <c r="A75" s="8">
        <v>45365</v>
      </c>
      <c r="B75" t="s">
        <v>99</v>
      </c>
      <c r="C75">
        <v>13</v>
      </c>
      <c r="D75" t="s">
        <v>11</v>
      </c>
      <c r="E75" t="s">
        <v>11</v>
      </c>
      <c r="F75">
        <f>VLOOKUP(B75,Catalogue!$A$1:$F$51,5,FALSE)</f>
        <v>71</v>
      </c>
      <c r="G75">
        <f>VLOOKUP(B75,Catalogue!$A$1:$F$51,6,FALSE)</f>
        <v>95.85</v>
      </c>
      <c r="H75">
        <f t="shared" si="4"/>
        <v>923</v>
      </c>
      <c r="I75">
        <f t="shared" si="5"/>
        <v>1246.05</v>
      </c>
      <c r="J75">
        <f t="shared" si="6"/>
        <v>323.04999999999995</v>
      </c>
      <c r="K75" t="str">
        <v>MTR Ready Curry</v>
      </c>
      <c r="L75" t="str">
        <f t="shared" si="7"/>
        <v>Mar</v>
      </c>
      <c r="M75" t="str">
        <v>Packaged Foods</v>
      </c>
    </row>
    <row r="76" spans="1:13" x14ac:dyDescent="0.35">
      <c r="A76" s="8">
        <v>45366</v>
      </c>
      <c r="B76" t="s">
        <v>87</v>
      </c>
      <c r="C76">
        <v>16</v>
      </c>
      <c r="D76" t="s">
        <v>13</v>
      </c>
      <c r="E76" t="s">
        <v>12</v>
      </c>
      <c r="F76">
        <f>VLOOKUP(B76,Catalogue!$A$1:$F$51,5,FALSE)</f>
        <v>12</v>
      </c>
      <c r="G76">
        <f>VLOOKUP(B76,Catalogue!$A$1:$F$51,6,FALSE)</f>
        <v>16.920000000000002</v>
      </c>
      <c r="H76">
        <f t="shared" si="4"/>
        <v>192</v>
      </c>
      <c r="I76">
        <f t="shared" si="5"/>
        <v>270.72000000000003</v>
      </c>
      <c r="J76">
        <f t="shared" si="6"/>
        <v>78.720000000000027</v>
      </c>
      <c r="K76" t="str">
        <v>Haldiram's Bhujia</v>
      </c>
      <c r="L76" t="str">
        <f t="shared" si="7"/>
        <v>Mar</v>
      </c>
      <c r="M76" t="str">
        <v>Packaged Foods</v>
      </c>
    </row>
    <row r="77" spans="1:13" x14ac:dyDescent="0.35">
      <c r="A77" s="8">
        <v>45367</v>
      </c>
      <c r="B77" t="s">
        <v>90</v>
      </c>
      <c r="C77">
        <v>4</v>
      </c>
      <c r="D77" t="s">
        <v>13</v>
      </c>
      <c r="E77" t="s">
        <v>11</v>
      </c>
      <c r="F77">
        <f>VLOOKUP(B77,Catalogue!$A$1:$F$51,5,FALSE)</f>
        <v>98</v>
      </c>
      <c r="G77">
        <f>VLOOKUP(B77,Catalogue!$A$1:$F$51,6,FALSE)</f>
        <v>161.69999999999999</v>
      </c>
      <c r="H77">
        <f t="shared" si="4"/>
        <v>392</v>
      </c>
      <c r="I77">
        <f t="shared" si="5"/>
        <v>646.79999999999995</v>
      </c>
      <c r="J77">
        <f t="shared" si="6"/>
        <v>254.79999999999995</v>
      </c>
      <c r="K77" t="str">
        <v>Lay's Chips</v>
      </c>
      <c r="L77" t="str">
        <f t="shared" si="7"/>
        <v>Mar</v>
      </c>
      <c r="M77" t="str">
        <v>Packaged Foods</v>
      </c>
    </row>
    <row r="78" spans="1:13" x14ac:dyDescent="0.35">
      <c r="A78" s="8">
        <v>45368</v>
      </c>
      <c r="B78" t="s">
        <v>116</v>
      </c>
      <c r="C78">
        <v>19</v>
      </c>
      <c r="D78" t="s">
        <v>11</v>
      </c>
      <c r="E78" t="s">
        <v>12</v>
      </c>
      <c r="F78">
        <f>VLOOKUP(B78,Catalogue!$A$1:$F$51,5,FALSE)</f>
        <v>123</v>
      </c>
      <c r="G78">
        <f>VLOOKUP(B78,Catalogue!$A$1:$F$51,6,FALSE)</f>
        <v>173.43</v>
      </c>
      <c r="H78">
        <f t="shared" si="4"/>
        <v>2337</v>
      </c>
      <c r="I78">
        <f t="shared" si="5"/>
        <v>3295.17</v>
      </c>
      <c r="J78">
        <f t="shared" si="6"/>
        <v>958.17000000000007</v>
      </c>
      <c r="K78" t="str">
        <v>Kellogg’s Corn Flakes</v>
      </c>
      <c r="L78" t="str">
        <f t="shared" si="7"/>
        <v>Mar</v>
      </c>
      <c r="M78" t="str">
        <v>Packaged Foods</v>
      </c>
    </row>
    <row r="79" spans="1:13" x14ac:dyDescent="0.35">
      <c r="A79" s="8">
        <v>45369</v>
      </c>
      <c r="B79" t="s">
        <v>18</v>
      </c>
      <c r="C79">
        <v>4</v>
      </c>
      <c r="D79" t="s">
        <v>10</v>
      </c>
      <c r="E79" t="s">
        <v>11</v>
      </c>
      <c r="F79">
        <f>VLOOKUP(B79,Catalogue!$A$1:$F$51,5,FALSE)</f>
        <v>105</v>
      </c>
      <c r="G79">
        <f>VLOOKUP(B79,Catalogue!$A$1:$F$51,6,FALSE)</f>
        <v>117.6</v>
      </c>
      <c r="H79">
        <f t="shared" si="4"/>
        <v>420</v>
      </c>
      <c r="I79">
        <f t="shared" si="5"/>
        <v>470.4</v>
      </c>
      <c r="J79">
        <f t="shared" si="6"/>
        <v>50.399999999999977</v>
      </c>
      <c r="K79" t="str">
        <v>Britannia Cake</v>
      </c>
      <c r="L79" t="str">
        <f t="shared" si="7"/>
        <v>Mar</v>
      </c>
      <c r="M79" t="str">
        <v>Packaged Foods</v>
      </c>
    </row>
    <row r="80" spans="1:13" x14ac:dyDescent="0.35">
      <c r="A80" s="8">
        <v>45370</v>
      </c>
      <c r="B80" t="s">
        <v>30</v>
      </c>
      <c r="C80">
        <v>8</v>
      </c>
      <c r="D80" t="s">
        <v>10</v>
      </c>
      <c r="E80" t="s">
        <v>12</v>
      </c>
      <c r="F80">
        <f>VLOOKUP(B80,Catalogue!$A$1:$F$51,5,FALSE)</f>
        <v>124</v>
      </c>
      <c r="G80">
        <f>VLOOKUP(B80,Catalogue!$A$1:$F$51,6,FALSE)</f>
        <v>204.60000000000002</v>
      </c>
      <c r="H80">
        <f t="shared" si="4"/>
        <v>992</v>
      </c>
      <c r="I80">
        <f t="shared" si="5"/>
        <v>1636.8000000000002</v>
      </c>
      <c r="J80">
        <f t="shared" si="6"/>
        <v>644.80000000000018</v>
      </c>
      <c r="K80" t="str">
        <v>Yippee Noodles</v>
      </c>
      <c r="L80" t="str">
        <f t="shared" si="7"/>
        <v>Mar</v>
      </c>
      <c r="M80" t="str">
        <v>Packaged Foods</v>
      </c>
    </row>
    <row r="81" spans="1:13" x14ac:dyDescent="0.35">
      <c r="A81" s="8">
        <v>45371</v>
      </c>
      <c r="B81" t="s">
        <v>24</v>
      </c>
      <c r="C81">
        <v>9</v>
      </c>
      <c r="D81" t="s">
        <v>11</v>
      </c>
      <c r="E81" t="s">
        <v>12</v>
      </c>
      <c r="F81">
        <f>VLOOKUP(B81,Catalogue!$A$1:$F$51,5,FALSE)</f>
        <v>71</v>
      </c>
      <c r="G81">
        <f>VLOOKUP(B81,Catalogue!$A$1:$F$51,6,FALSE)</f>
        <v>80.23</v>
      </c>
      <c r="H81">
        <f t="shared" si="4"/>
        <v>639</v>
      </c>
      <c r="I81">
        <f t="shared" si="5"/>
        <v>722.07</v>
      </c>
      <c r="J81">
        <f t="shared" si="6"/>
        <v>83.07000000000005</v>
      </c>
      <c r="K81" t="str">
        <v>Top Ramen</v>
      </c>
      <c r="L81" t="str">
        <f t="shared" si="7"/>
        <v>Mar</v>
      </c>
      <c r="M81" t="str">
        <v>Packaged Foods</v>
      </c>
    </row>
    <row r="82" spans="1:13" x14ac:dyDescent="0.35">
      <c r="A82" s="8">
        <v>45372</v>
      </c>
      <c r="B82" t="s">
        <v>69</v>
      </c>
      <c r="C82">
        <v>14</v>
      </c>
      <c r="D82" t="s">
        <v>10</v>
      </c>
      <c r="E82" t="s">
        <v>11</v>
      </c>
      <c r="F82">
        <f>VLOOKUP(B82,Catalogue!$A$1:$F$51,5,FALSE)</f>
        <v>124</v>
      </c>
      <c r="G82">
        <f>VLOOKUP(B82,Catalogue!$A$1:$F$51,6,FALSE)</f>
        <v>167.4</v>
      </c>
      <c r="H82">
        <f t="shared" si="4"/>
        <v>1736</v>
      </c>
      <c r="I82">
        <f t="shared" si="5"/>
        <v>2343.6</v>
      </c>
      <c r="J82">
        <f t="shared" si="6"/>
        <v>607.59999999999991</v>
      </c>
      <c r="K82" t="str">
        <v>Surf Excel Detergent</v>
      </c>
      <c r="L82" t="str">
        <f t="shared" si="7"/>
        <v>Mar</v>
      </c>
      <c r="M82" t="str">
        <v>Household Cleaning</v>
      </c>
    </row>
    <row r="83" spans="1:13" x14ac:dyDescent="0.35">
      <c r="A83" s="8">
        <v>45373</v>
      </c>
      <c r="B83" t="s">
        <v>87</v>
      </c>
      <c r="C83">
        <v>19</v>
      </c>
      <c r="D83" t="s">
        <v>10</v>
      </c>
      <c r="E83" t="s">
        <v>12</v>
      </c>
      <c r="F83">
        <f>VLOOKUP(B83,Catalogue!$A$1:$F$51,5,FALSE)</f>
        <v>12</v>
      </c>
      <c r="G83">
        <f>VLOOKUP(B83,Catalogue!$A$1:$F$51,6,FALSE)</f>
        <v>16.920000000000002</v>
      </c>
      <c r="H83">
        <f t="shared" si="4"/>
        <v>228</v>
      </c>
      <c r="I83">
        <f t="shared" si="5"/>
        <v>321.48</v>
      </c>
      <c r="J83">
        <f t="shared" si="6"/>
        <v>93.480000000000018</v>
      </c>
      <c r="K83" t="str">
        <v>Vim Dishwash Bar</v>
      </c>
      <c r="L83" t="str">
        <f t="shared" si="7"/>
        <v>Mar</v>
      </c>
      <c r="M83" t="str">
        <v>Household Cleaning</v>
      </c>
    </row>
    <row r="84" spans="1:13" x14ac:dyDescent="0.35">
      <c r="A84" s="8">
        <v>45374</v>
      </c>
      <c r="B84" t="s">
        <v>61</v>
      </c>
      <c r="C84">
        <v>18</v>
      </c>
      <c r="D84" t="s">
        <v>11</v>
      </c>
      <c r="E84" t="s">
        <v>12</v>
      </c>
      <c r="F84">
        <f>VLOOKUP(B84,Catalogue!$A$1:$F$51,5,FALSE)</f>
        <v>44</v>
      </c>
      <c r="G84">
        <f>VLOOKUP(B84,Catalogue!$A$1:$F$51,6,FALSE)</f>
        <v>72.599999999999994</v>
      </c>
      <c r="H84">
        <f t="shared" si="4"/>
        <v>792</v>
      </c>
      <c r="I84">
        <f t="shared" si="5"/>
        <v>1306.8</v>
      </c>
      <c r="J84">
        <f t="shared" si="6"/>
        <v>514.79999999999995</v>
      </c>
      <c r="K84" t="str">
        <v>Harpic Toilet Cleaner</v>
      </c>
      <c r="L84" t="str">
        <f t="shared" si="7"/>
        <v>Mar</v>
      </c>
      <c r="M84" t="str">
        <v>Household Cleaning</v>
      </c>
    </row>
    <row r="85" spans="1:13" x14ac:dyDescent="0.35">
      <c r="A85" s="8">
        <v>45375</v>
      </c>
      <c r="B85" t="s">
        <v>128</v>
      </c>
      <c r="C85">
        <v>4</v>
      </c>
      <c r="D85" t="s">
        <v>13</v>
      </c>
      <c r="E85" t="s">
        <v>11</v>
      </c>
      <c r="F85">
        <f>VLOOKUP(B85,Catalogue!$A$1:$F$51,5,FALSE)</f>
        <v>98</v>
      </c>
      <c r="G85">
        <f>VLOOKUP(B85,Catalogue!$A$1:$F$51,6,FALSE)</f>
        <v>132.30000000000001</v>
      </c>
      <c r="H85">
        <f t="shared" si="4"/>
        <v>392</v>
      </c>
      <c r="I85">
        <f t="shared" si="5"/>
        <v>529.20000000000005</v>
      </c>
      <c r="J85">
        <f t="shared" si="6"/>
        <v>137.20000000000005</v>
      </c>
      <c r="K85" t="str">
        <v>Lizol Floor Cleaner</v>
      </c>
      <c r="L85" t="str">
        <f t="shared" si="7"/>
        <v>Mar</v>
      </c>
      <c r="M85" t="str">
        <v>Household Cleaning</v>
      </c>
    </row>
    <row r="86" spans="1:13" x14ac:dyDescent="0.35">
      <c r="A86" s="8">
        <v>45376</v>
      </c>
      <c r="B86" t="s">
        <v>71</v>
      </c>
      <c r="C86">
        <v>12</v>
      </c>
      <c r="D86" t="s">
        <v>13</v>
      </c>
      <c r="E86" t="s">
        <v>12</v>
      </c>
      <c r="F86">
        <f>VLOOKUP(B86,Catalogue!$A$1:$F$51,5,FALSE)</f>
        <v>10</v>
      </c>
      <c r="G86">
        <f>VLOOKUP(B86,Catalogue!$A$1:$F$51,6,FALSE)</f>
        <v>14.600000000000001</v>
      </c>
      <c r="H86">
        <f t="shared" si="4"/>
        <v>120</v>
      </c>
      <c r="I86">
        <f t="shared" si="5"/>
        <v>175.20000000000002</v>
      </c>
      <c r="J86">
        <f t="shared" si="6"/>
        <v>55.200000000000017</v>
      </c>
      <c r="K86" t="str">
        <v>Domex Disinfectant</v>
      </c>
      <c r="L86" t="str">
        <f t="shared" si="7"/>
        <v>Mar</v>
      </c>
      <c r="M86" t="str">
        <v>Household Cleaning</v>
      </c>
    </row>
    <row r="87" spans="1:13" x14ac:dyDescent="0.35">
      <c r="A87" s="8">
        <v>45377</v>
      </c>
      <c r="B87" t="s">
        <v>99</v>
      </c>
      <c r="C87">
        <v>18</v>
      </c>
      <c r="D87" t="s">
        <v>11</v>
      </c>
      <c r="E87" t="s">
        <v>11</v>
      </c>
      <c r="F87">
        <f>VLOOKUP(B87,Catalogue!$A$1:$F$51,5,FALSE)</f>
        <v>71</v>
      </c>
      <c r="G87">
        <f>VLOOKUP(B87,Catalogue!$A$1:$F$51,6,FALSE)</f>
        <v>95.85</v>
      </c>
      <c r="H87">
        <f t="shared" si="4"/>
        <v>1278</v>
      </c>
      <c r="I87">
        <f t="shared" si="5"/>
        <v>1725.3</v>
      </c>
      <c r="J87">
        <f t="shared" si="6"/>
        <v>447.29999999999995</v>
      </c>
      <c r="K87" t="str">
        <v>Rin Bar</v>
      </c>
      <c r="L87" t="str">
        <f t="shared" si="7"/>
        <v>Mar</v>
      </c>
      <c r="M87" t="str">
        <v>Household Cleaning</v>
      </c>
    </row>
    <row r="88" spans="1:13" x14ac:dyDescent="0.35">
      <c r="A88" s="8">
        <v>45378</v>
      </c>
      <c r="B88" t="s">
        <v>74</v>
      </c>
      <c r="C88">
        <v>6</v>
      </c>
      <c r="D88" t="s">
        <v>10</v>
      </c>
      <c r="E88" t="s">
        <v>12</v>
      </c>
      <c r="F88">
        <f>VLOOKUP(B88,Catalogue!$A$1:$F$51,5,FALSE)</f>
        <v>16</v>
      </c>
      <c r="G88">
        <f>VLOOKUP(B88,Catalogue!$A$1:$F$51,6,FALSE)</f>
        <v>21.12</v>
      </c>
      <c r="H88">
        <f t="shared" si="4"/>
        <v>96</v>
      </c>
      <c r="I88">
        <f t="shared" si="5"/>
        <v>126.72</v>
      </c>
      <c r="J88">
        <f t="shared" si="6"/>
        <v>30.72</v>
      </c>
      <c r="K88" t="str">
        <v>Scotch-Brite Scrub Pad</v>
      </c>
      <c r="L88" t="str">
        <f t="shared" si="7"/>
        <v>Mar</v>
      </c>
      <c r="M88" t="str">
        <v>Household Cleaning</v>
      </c>
    </row>
    <row r="89" spans="1:13" x14ac:dyDescent="0.35">
      <c r="A89" s="8">
        <v>45379</v>
      </c>
      <c r="B89" t="s">
        <v>122</v>
      </c>
      <c r="C89">
        <v>14</v>
      </c>
      <c r="D89" t="s">
        <v>10</v>
      </c>
      <c r="E89" t="s">
        <v>11</v>
      </c>
      <c r="F89">
        <f>VLOOKUP(B89,Catalogue!$A$1:$F$51,5,FALSE)</f>
        <v>12</v>
      </c>
      <c r="G89">
        <f>VLOOKUP(B89,Catalogue!$A$1:$F$51,6,FALSE)</f>
        <v>13.44</v>
      </c>
      <c r="H89">
        <f t="shared" si="4"/>
        <v>168</v>
      </c>
      <c r="I89">
        <f t="shared" si="5"/>
        <v>188.16</v>
      </c>
      <c r="J89">
        <f t="shared" si="6"/>
        <v>20.159999999999997</v>
      </c>
      <c r="K89" t="str">
        <v>Pril Dishwash Liquid</v>
      </c>
      <c r="L89" t="str">
        <f t="shared" si="7"/>
        <v>Mar</v>
      </c>
      <c r="M89" t="str">
        <v>Household Cleaning</v>
      </c>
    </row>
    <row r="90" spans="1:13" x14ac:dyDescent="0.35">
      <c r="A90" s="8">
        <v>45380</v>
      </c>
      <c r="B90" t="s">
        <v>58</v>
      </c>
      <c r="C90">
        <v>13</v>
      </c>
      <c r="D90" t="s">
        <v>11</v>
      </c>
      <c r="E90" t="s">
        <v>12</v>
      </c>
      <c r="F90">
        <f>VLOOKUP(B90,Catalogue!$A$1:$F$51,5,FALSE)</f>
        <v>105</v>
      </c>
      <c r="G90">
        <f>VLOOKUP(B90,Catalogue!$A$1:$F$51,6,FALSE)</f>
        <v>148.05000000000001</v>
      </c>
      <c r="H90">
        <f t="shared" si="4"/>
        <v>1365</v>
      </c>
      <c r="I90">
        <f t="shared" si="5"/>
        <v>1924.65</v>
      </c>
      <c r="J90">
        <f t="shared" si="6"/>
        <v>559.65000000000009</v>
      </c>
      <c r="K90" t="str">
        <v>Exo Dishwash Bar</v>
      </c>
      <c r="L90" t="str">
        <f t="shared" si="7"/>
        <v>Mar</v>
      </c>
      <c r="M90" t="str">
        <v>Household Cleaning</v>
      </c>
    </row>
    <row r="91" spans="1:13" x14ac:dyDescent="0.35">
      <c r="A91" s="8">
        <v>45381</v>
      </c>
      <c r="B91" t="s">
        <v>93</v>
      </c>
      <c r="C91">
        <v>17</v>
      </c>
      <c r="D91" t="s">
        <v>10</v>
      </c>
      <c r="E91" t="s">
        <v>12</v>
      </c>
      <c r="F91">
        <f>VLOOKUP(B91,Catalogue!$A$1:$F$51,5,FALSE)</f>
        <v>105</v>
      </c>
      <c r="G91">
        <f>VLOOKUP(B91,Catalogue!$A$1:$F$51,6,FALSE)</f>
        <v>117.6</v>
      </c>
      <c r="H91">
        <f t="shared" si="4"/>
        <v>1785</v>
      </c>
      <c r="I91">
        <f t="shared" si="5"/>
        <v>1999.1999999999998</v>
      </c>
      <c r="J91">
        <f t="shared" si="6"/>
        <v>214.19999999999982</v>
      </c>
      <c r="K91" t="str">
        <v>Odonil Room Freshener</v>
      </c>
      <c r="L91" t="str">
        <f t="shared" si="7"/>
        <v>Mar</v>
      </c>
      <c r="M91" t="str">
        <v>Household Cleaning</v>
      </c>
    </row>
    <row r="92" spans="1:13" x14ac:dyDescent="0.35">
      <c r="A92" s="8">
        <v>45382</v>
      </c>
      <c r="B92" t="s">
        <v>78</v>
      </c>
      <c r="C92">
        <v>13</v>
      </c>
      <c r="D92" t="s">
        <v>10</v>
      </c>
      <c r="E92" t="s">
        <v>11</v>
      </c>
      <c r="F92">
        <f>VLOOKUP(B92,Catalogue!$A$1:$F$51,5,FALSE)</f>
        <v>10</v>
      </c>
      <c r="G92">
        <f>VLOOKUP(B92,Catalogue!$A$1:$F$51,6,FALSE)</f>
        <v>11.2</v>
      </c>
      <c r="H92">
        <f t="shared" si="4"/>
        <v>130</v>
      </c>
      <c r="I92">
        <f t="shared" si="5"/>
        <v>145.6</v>
      </c>
      <c r="J92">
        <f t="shared" si="6"/>
        <v>15.599999999999994</v>
      </c>
      <c r="K92" t="str">
        <v>Whisper Sanitary Pads</v>
      </c>
      <c r="L92" t="str">
        <f t="shared" si="7"/>
        <v>Mar</v>
      </c>
      <c r="M92" t="str">
        <v>Paper &amp; Essentials</v>
      </c>
    </row>
    <row r="93" spans="1:13" x14ac:dyDescent="0.35">
      <c r="A93" s="8">
        <v>45383</v>
      </c>
      <c r="B93" t="s">
        <v>122</v>
      </c>
      <c r="C93">
        <v>19</v>
      </c>
      <c r="D93" t="s">
        <v>11</v>
      </c>
      <c r="E93" t="s">
        <v>12</v>
      </c>
      <c r="F93">
        <f>VLOOKUP(B93,Catalogue!$A$1:$F$51,5,FALSE)</f>
        <v>12</v>
      </c>
      <c r="G93">
        <f>VLOOKUP(B93,Catalogue!$A$1:$F$51,6,FALSE)</f>
        <v>13.44</v>
      </c>
      <c r="H93">
        <f t="shared" si="4"/>
        <v>228</v>
      </c>
      <c r="I93">
        <f t="shared" si="5"/>
        <v>255.35999999999999</v>
      </c>
      <c r="J93">
        <f t="shared" si="6"/>
        <v>27.359999999999985</v>
      </c>
      <c r="K93" t="str">
        <v>Sofy Pantyliners</v>
      </c>
      <c r="L93" t="str">
        <f t="shared" si="7"/>
        <v>Apr</v>
      </c>
      <c r="M93" t="str">
        <v>Paper &amp; Essentials</v>
      </c>
    </row>
    <row r="94" spans="1:13" x14ac:dyDescent="0.35">
      <c r="A94" s="8">
        <v>45384</v>
      </c>
      <c r="B94" t="s">
        <v>55</v>
      </c>
      <c r="C94">
        <v>11</v>
      </c>
      <c r="D94" t="s">
        <v>13</v>
      </c>
      <c r="E94" t="s">
        <v>12</v>
      </c>
      <c r="F94">
        <f>VLOOKUP(B94,Catalogue!$A$1:$F$51,5,FALSE)</f>
        <v>98</v>
      </c>
      <c r="G94">
        <f>VLOOKUP(B94,Catalogue!$A$1:$F$51,6,FALSE)</f>
        <v>110.74</v>
      </c>
      <c r="H94">
        <f t="shared" si="4"/>
        <v>1078</v>
      </c>
      <c r="I94">
        <f t="shared" si="5"/>
        <v>1218.1399999999999</v>
      </c>
      <c r="J94">
        <f t="shared" si="6"/>
        <v>140.13999999999987</v>
      </c>
      <c r="K94" t="str">
        <v>Kleenex Tissue Box</v>
      </c>
      <c r="L94" t="str">
        <f t="shared" si="7"/>
        <v>Apr</v>
      </c>
      <c r="M94" t="str">
        <v>Paper &amp; Essentials</v>
      </c>
    </row>
    <row r="95" spans="1:13" x14ac:dyDescent="0.35">
      <c r="A95" s="8">
        <v>45385</v>
      </c>
      <c r="B95" t="s">
        <v>99</v>
      </c>
      <c r="C95">
        <v>15</v>
      </c>
      <c r="D95" t="s">
        <v>13</v>
      </c>
      <c r="E95" t="s">
        <v>11</v>
      </c>
      <c r="F95">
        <f>VLOOKUP(B95,Catalogue!$A$1:$F$51,5,FALSE)</f>
        <v>71</v>
      </c>
      <c r="G95">
        <f>VLOOKUP(B95,Catalogue!$A$1:$F$51,6,FALSE)</f>
        <v>95.85</v>
      </c>
      <c r="H95">
        <f t="shared" si="4"/>
        <v>1065</v>
      </c>
      <c r="I95">
        <f t="shared" si="5"/>
        <v>1437.75</v>
      </c>
      <c r="J95">
        <f t="shared" si="6"/>
        <v>372.75</v>
      </c>
      <c r="K95" t="str">
        <v>Origami Kitchen Towels</v>
      </c>
      <c r="L95" t="str">
        <f t="shared" si="7"/>
        <v>Apr</v>
      </c>
      <c r="M95" t="str">
        <v>Paper &amp; Essentials</v>
      </c>
    </row>
    <row r="96" spans="1:13" x14ac:dyDescent="0.35">
      <c r="A96" s="8">
        <v>45386</v>
      </c>
      <c r="B96" t="s">
        <v>69</v>
      </c>
      <c r="C96">
        <v>11</v>
      </c>
      <c r="D96" t="s">
        <v>11</v>
      </c>
      <c r="E96" t="s">
        <v>12</v>
      </c>
      <c r="F96">
        <f>VLOOKUP(B96,Catalogue!$A$1:$F$51,5,FALSE)</f>
        <v>124</v>
      </c>
      <c r="G96">
        <f>VLOOKUP(B96,Catalogue!$A$1:$F$51,6,FALSE)</f>
        <v>167.4</v>
      </c>
      <c r="H96">
        <f t="shared" si="4"/>
        <v>1364</v>
      </c>
      <c r="I96">
        <f t="shared" si="5"/>
        <v>1841.4</v>
      </c>
      <c r="J96">
        <f t="shared" si="6"/>
        <v>477.40000000000009</v>
      </c>
      <c r="K96" t="str">
        <v>Stayfree Ultra</v>
      </c>
      <c r="L96" t="str">
        <f t="shared" si="7"/>
        <v>Apr</v>
      </c>
      <c r="M96" t="str">
        <v>Paper &amp; Essentials</v>
      </c>
    </row>
    <row r="97" spans="1:13" x14ac:dyDescent="0.35">
      <c r="A97" s="8">
        <v>45387</v>
      </c>
      <c r="B97" t="s">
        <v>36</v>
      </c>
      <c r="C97">
        <v>7</v>
      </c>
      <c r="D97" t="s">
        <v>10</v>
      </c>
      <c r="E97" t="s">
        <v>11</v>
      </c>
      <c r="F97">
        <f>VLOOKUP(B97,Catalogue!$A$1:$F$51,5,FALSE)</f>
        <v>16</v>
      </c>
      <c r="G97">
        <f>VLOOKUP(B97,Catalogue!$A$1:$F$51,6,FALSE)</f>
        <v>17.600000000000001</v>
      </c>
      <c r="H97">
        <f t="shared" si="4"/>
        <v>112</v>
      </c>
      <c r="I97">
        <f t="shared" si="5"/>
        <v>123.20000000000002</v>
      </c>
      <c r="J97">
        <f t="shared" si="6"/>
        <v>11.200000000000017</v>
      </c>
      <c r="K97" t="str">
        <v>Scott Toilet Paper</v>
      </c>
      <c r="L97" t="str">
        <f t="shared" si="7"/>
        <v>Apr</v>
      </c>
      <c r="M97" t="str">
        <v>Paper &amp; Essentials</v>
      </c>
    </row>
    <row r="98" spans="1:13" x14ac:dyDescent="0.35">
      <c r="A98" s="8">
        <v>45388</v>
      </c>
      <c r="B98" t="s">
        <v>128</v>
      </c>
      <c r="C98">
        <v>10</v>
      </c>
      <c r="D98" t="s">
        <v>10</v>
      </c>
      <c r="E98" t="s">
        <v>12</v>
      </c>
      <c r="F98">
        <f>VLOOKUP(B98,Catalogue!$A$1:$F$51,5,FALSE)</f>
        <v>98</v>
      </c>
      <c r="G98">
        <f>VLOOKUP(B98,Catalogue!$A$1:$F$51,6,FALSE)</f>
        <v>132.30000000000001</v>
      </c>
      <c r="H98">
        <f t="shared" si="4"/>
        <v>980</v>
      </c>
      <c r="I98">
        <f t="shared" si="5"/>
        <v>1323</v>
      </c>
      <c r="J98">
        <f t="shared" si="6"/>
        <v>343</v>
      </c>
      <c r="K98" t="str">
        <v>Bella Napkins</v>
      </c>
      <c r="L98" t="str">
        <f t="shared" si="7"/>
        <v>Apr</v>
      </c>
      <c r="M98" t="str">
        <v>Paper &amp; Essentials</v>
      </c>
    </row>
    <row r="99" spans="1:13" x14ac:dyDescent="0.35">
      <c r="A99" s="8">
        <v>45389</v>
      </c>
      <c r="B99" t="s">
        <v>111</v>
      </c>
      <c r="C99">
        <v>7</v>
      </c>
      <c r="D99" t="s">
        <v>11</v>
      </c>
      <c r="E99" t="s">
        <v>11</v>
      </c>
      <c r="F99">
        <f>VLOOKUP(B99,Catalogue!$A$1:$F$51,5,FALSE)</f>
        <v>16</v>
      </c>
      <c r="G99">
        <f>VLOOKUP(B99,Catalogue!$A$1:$F$51,6,FALSE)</f>
        <v>18.240000000000002</v>
      </c>
      <c r="H99">
        <f t="shared" si="4"/>
        <v>112</v>
      </c>
      <c r="I99">
        <f t="shared" si="5"/>
        <v>127.68</v>
      </c>
      <c r="J99">
        <f t="shared" si="6"/>
        <v>15.680000000000007</v>
      </c>
      <c r="K99" t="str">
        <v>Everteen Wipes</v>
      </c>
      <c r="L99" t="str">
        <f t="shared" si="7"/>
        <v>Apr</v>
      </c>
      <c r="M99" t="str">
        <v>Paper &amp; Essentials</v>
      </c>
    </row>
    <row r="100" spans="1:13" x14ac:dyDescent="0.35">
      <c r="A100" s="8">
        <v>45390</v>
      </c>
      <c r="B100" t="s">
        <v>113</v>
      </c>
      <c r="C100">
        <v>4</v>
      </c>
      <c r="D100" t="s">
        <v>10</v>
      </c>
      <c r="E100" t="s">
        <v>12</v>
      </c>
      <c r="F100">
        <f>VLOOKUP(B100,Catalogue!$A$1:$F$51,5,FALSE)</f>
        <v>10</v>
      </c>
      <c r="G100">
        <f>VLOOKUP(B100,Catalogue!$A$1:$F$51,6,FALSE)</f>
        <v>11.3</v>
      </c>
      <c r="H100">
        <f t="shared" si="4"/>
        <v>40</v>
      </c>
      <c r="I100">
        <f t="shared" si="5"/>
        <v>45.2</v>
      </c>
      <c r="J100">
        <f t="shared" si="6"/>
        <v>5.2000000000000028</v>
      </c>
      <c r="K100" t="str">
        <v>Premier Facial Tissues</v>
      </c>
      <c r="L100" t="str">
        <f t="shared" si="7"/>
        <v>Apr</v>
      </c>
      <c r="M100" t="str">
        <v>Paper &amp; Essentials</v>
      </c>
    </row>
    <row r="101" spans="1:13" x14ac:dyDescent="0.35">
      <c r="A101" s="8">
        <v>45391</v>
      </c>
      <c r="B101" t="s">
        <v>42</v>
      </c>
      <c r="C101">
        <v>6</v>
      </c>
      <c r="D101" t="s">
        <v>10</v>
      </c>
      <c r="E101" t="s">
        <v>12</v>
      </c>
      <c r="F101">
        <f>VLOOKUP(B101,Catalogue!$A$1:$F$51,5,FALSE)</f>
        <v>123</v>
      </c>
      <c r="G101">
        <f>VLOOKUP(B101,Catalogue!$A$1:$F$51,6,FALSE)</f>
        <v>179.58</v>
      </c>
      <c r="H101">
        <f t="shared" si="4"/>
        <v>738</v>
      </c>
      <c r="I101">
        <f t="shared" si="5"/>
        <v>1077.48</v>
      </c>
      <c r="J101">
        <f t="shared" si="6"/>
        <v>339.48</v>
      </c>
      <c r="K101" t="str">
        <v>Wet Wipes - Himalaya</v>
      </c>
      <c r="L101" t="str">
        <f t="shared" si="7"/>
        <v>Apr</v>
      </c>
      <c r="M101" t="str">
        <v>Paper &amp; Essentials</v>
      </c>
    </row>
    <row r="102" spans="1:13" x14ac:dyDescent="0.35">
      <c r="A102" s="8">
        <v>45392</v>
      </c>
      <c r="B102" t="s">
        <v>14</v>
      </c>
      <c r="C102">
        <v>4</v>
      </c>
      <c r="D102" t="s">
        <v>11</v>
      </c>
      <c r="E102" t="s">
        <v>11</v>
      </c>
      <c r="F102">
        <f>VLOOKUP(B102,Catalogue!$A$1:$F$51,5,FALSE)</f>
        <v>98</v>
      </c>
      <c r="G102">
        <f>VLOOKUP(B102,Catalogue!$A$1:$F$51,6,FALSE)</f>
        <v>129.36000000000001</v>
      </c>
      <c r="H102">
        <f t="shared" si="4"/>
        <v>392</v>
      </c>
      <c r="I102">
        <f t="shared" si="5"/>
        <v>517.44000000000005</v>
      </c>
      <c r="J102">
        <f t="shared" si="6"/>
        <v>125.44000000000005</v>
      </c>
      <c r="K102" t="str" cm="1">
        <f t="array" ref="K102:K151">Catalogue!B2:B51</f>
        <v>Dove Soap</v>
      </c>
      <c r="L102" t="str">
        <f t="shared" si="7"/>
        <v>Apr</v>
      </c>
      <c r="M102" t="str" cm="1">
        <f t="array" ref="M102:M151">Catalogue!C2:C51</f>
        <v>Personal Care</v>
      </c>
    </row>
    <row r="103" spans="1:13" x14ac:dyDescent="0.35">
      <c r="A103" s="8">
        <v>45393</v>
      </c>
      <c r="B103" t="s">
        <v>159</v>
      </c>
      <c r="C103">
        <v>9</v>
      </c>
      <c r="D103" t="s">
        <v>13</v>
      </c>
      <c r="E103" t="s">
        <v>12</v>
      </c>
      <c r="F103">
        <f>VLOOKUP(B103,Catalogue!$A$1:$F$51,5,FALSE)</f>
        <v>136</v>
      </c>
      <c r="G103">
        <f>VLOOKUP(B103,Catalogue!$A$1:$F$51,6,FALSE)</f>
        <v>183.6</v>
      </c>
      <c r="H103">
        <f t="shared" si="4"/>
        <v>1224</v>
      </c>
      <c r="I103">
        <f t="shared" si="5"/>
        <v>1652.3999999999999</v>
      </c>
      <c r="J103">
        <f t="shared" si="6"/>
        <v>428.39999999999986</v>
      </c>
      <c r="K103" t="str">
        <v>Colgate Toothpaste</v>
      </c>
      <c r="L103" t="str">
        <f t="shared" si="7"/>
        <v>Apr</v>
      </c>
      <c r="M103" t="str">
        <v>Personal Care</v>
      </c>
    </row>
    <row r="104" spans="1:13" x14ac:dyDescent="0.35">
      <c r="A104" s="8">
        <v>45394</v>
      </c>
      <c r="B104" t="s">
        <v>36</v>
      </c>
      <c r="C104">
        <v>9</v>
      </c>
      <c r="D104" t="s">
        <v>13</v>
      </c>
      <c r="E104" t="s">
        <v>12</v>
      </c>
      <c r="F104">
        <f>VLOOKUP(B104,Catalogue!$A$1:$F$51,5,FALSE)</f>
        <v>16</v>
      </c>
      <c r="G104">
        <f>VLOOKUP(B104,Catalogue!$A$1:$F$51,6,FALSE)</f>
        <v>17.600000000000001</v>
      </c>
      <c r="H104">
        <f t="shared" si="4"/>
        <v>144</v>
      </c>
      <c r="I104">
        <f t="shared" si="5"/>
        <v>158.4</v>
      </c>
      <c r="J104">
        <f t="shared" si="6"/>
        <v>14.400000000000006</v>
      </c>
      <c r="K104" t="str">
        <v>Lifebuoy Handwash</v>
      </c>
      <c r="L104" t="str">
        <f t="shared" si="7"/>
        <v>Apr</v>
      </c>
      <c r="M104" t="str">
        <v>Personal Care</v>
      </c>
    </row>
    <row r="105" spans="1:13" x14ac:dyDescent="0.35">
      <c r="A105" s="8">
        <v>45395</v>
      </c>
      <c r="B105" t="s">
        <v>87</v>
      </c>
      <c r="C105">
        <v>2</v>
      </c>
      <c r="D105" t="s">
        <v>11</v>
      </c>
      <c r="E105" t="s">
        <v>11</v>
      </c>
      <c r="F105">
        <f>VLOOKUP(B105,Catalogue!$A$1:$F$51,5,FALSE)</f>
        <v>12</v>
      </c>
      <c r="G105">
        <f>VLOOKUP(B105,Catalogue!$A$1:$F$51,6,FALSE)</f>
        <v>16.920000000000002</v>
      </c>
      <c r="H105">
        <f t="shared" si="4"/>
        <v>24</v>
      </c>
      <c r="I105">
        <f t="shared" si="5"/>
        <v>33.840000000000003</v>
      </c>
      <c r="J105">
        <f t="shared" si="6"/>
        <v>9.8400000000000034</v>
      </c>
      <c r="K105" t="str">
        <v>Nivea Body Lotion</v>
      </c>
      <c r="L105" t="str">
        <f t="shared" si="7"/>
        <v>Apr</v>
      </c>
      <c r="M105" t="str">
        <v>Personal Care</v>
      </c>
    </row>
    <row r="106" spans="1:13" x14ac:dyDescent="0.35">
      <c r="A106" s="8">
        <v>45396</v>
      </c>
      <c r="B106" t="s">
        <v>87</v>
      </c>
      <c r="C106">
        <v>15</v>
      </c>
      <c r="D106" t="s">
        <v>10</v>
      </c>
      <c r="E106" t="s">
        <v>12</v>
      </c>
      <c r="F106">
        <f>VLOOKUP(B106,Catalogue!$A$1:$F$51,5,FALSE)</f>
        <v>12</v>
      </c>
      <c r="G106">
        <f>VLOOKUP(B106,Catalogue!$A$1:$F$51,6,FALSE)</f>
        <v>16.920000000000002</v>
      </c>
      <c r="H106">
        <f t="shared" si="4"/>
        <v>180</v>
      </c>
      <c r="I106">
        <f t="shared" si="5"/>
        <v>253.8</v>
      </c>
      <c r="J106">
        <f t="shared" si="6"/>
        <v>73.800000000000011</v>
      </c>
      <c r="K106" t="str">
        <v>Gillette Shaving Foam</v>
      </c>
      <c r="L106" t="str">
        <f t="shared" si="7"/>
        <v>Apr</v>
      </c>
      <c r="M106" t="str">
        <v>Personal Care</v>
      </c>
    </row>
    <row r="107" spans="1:13" x14ac:dyDescent="0.35">
      <c r="A107" s="8">
        <v>45397</v>
      </c>
      <c r="B107" t="s">
        <v>61</v>
      </c>
      <c r="C107">
        <v>3</v>
      </c>
      <c r="D107" t="s">
        <v>10</v>
      </c>
      <c r="E107" t="s">
        <v>11</v>
      </c>
      <c r="F107">
        <f>VLOOKUP(B107,Catalogue!$A$1:$F$51,5,FALSE)</f>
        <v>44</v>
      </c>
      <c r="G107">
        <f>VLOOKUP(B107,Catalogue!$A$1:$F$51,6,FALSE)</f>
        <v>72.599999999999994</v>
      </c>
      <c r="H107">
        <f t="shared" si="4"/>
        <v>132</v>
      </c>
      <c r="I107">
        <f t="shared" si="5"/>
        <v>217.79999999999998</v>
      </c>
      <c r="J107">
        <f t="shared" si="6"/>
        <v>85.799999999999983</v>
      </c>
      <c r="K107" t="str">
        <v>Pantene Shampoo</v>
      </c>
      <c r="L107" t="str">
        <f t="shared" si="7"/>
        <v>Apr</v>
      </c>
      <c r="M107" t="str">
        <v>Personal Care</v>
      </c>
    </row>
    <row r="108" spans="1:13" x14ac:dyDescent="0.35">
      <c r="A108" s="8">
        <v>45398</v>
      </c>
      <c r="B108" t="s">
        <v>61</v>
      </c>
      <c r="C108">
        <v>14</v>
      </c>
      <c r="D108" t="s">
        <v>11</v>
      </c>
      <c r="E108" t="s">
        <v>12</v>
      </c>
      <c r="F108">
        <f>VLOOKUP(B108,Catalogue!$A$1:$F$51,5,FALSE)</f>
        <v>44</v>
      </c>
      <c r="G108">
        <f>VLOOKUP(B108,Catalogue!$A$1:$F$51,6,FALSE)</f>
        <v>72.599999999999994</v>
      </c>
      <c r="H108">
        <f t="shared" si="4"/>
        <v>616</v>
      </c>
      <c r="I108">
        <f t="shared" si="5"/>
        <v>1016.3999999999999</v>
      </c>
      <c r="J108">
        <f t="shared" si="6"/>
        <v>400.39999999999986</v>
      </c>
      <c r="K108" t="str">
        <v>Dettol Antiseptic Liquid</v>
      </c>
      <c r="L108" t="str">
        <f t="shared" si="7"/>
        <v>Apr</v>
      </c>
      <c r="M108" t="str">
        <v>Personal Care</v>
      </c>
    </row>
    <row r="109" spans="1:13" x14ac:dyDescent="0.35">
      <c r="A109" s="8">
        <v>45399</v>
      </c>
      <c r="B109" t="s">
        <v>159</v>
      </c>
      <c r="C109">
        <v>3</v>
      </c>
      <c r="D109" t="s">
        <v>10</v>
      </c>
      <c r="E109" t="s">
        <v>11</v>
      </c>
      <c r="F109">
        <f>VLOOKUP(B109,Catalogue!$A$1:$F$51,5,FALSE)</f>
        <v>136</v>
      </c>
      <c r="G109">
        <f>VLOOKUP(B109,Catalogue!$A$1:$F$51,6,FALSE)</f>
        <v>183.6</v>
      </c>
      <c r="H109">
        <f t="shared" si="4"/>
        <v>408</v>
      </c>
      <c r="I109">
        <f t="shared" si="5"/>
        <v>550.79999999999995</v>
      </c>
      <c r="J109">
        <f t="shared" si="6"/>
        <v>142.79999999999995</v>
      </c>
      <c r="K109" t="str">
        <v>Himalaya Face Wash</v>
      </c>
      <c r="L109" t="str">
        <f t="shared" si="7"/>
        <v>Apr</v>
      </c>
      <c r="M109" t="str">
        <v>Personal Care</v>
      </c>
    </row>
    <row r="110" spans="1:13" x14ac:dyDescent="0.35">
      <c r="A110" s="8">
        <v>45400</v>
      </c>
      <c r="B110" t="s">
        <v>162</v>
      </c>
      <c r="C110">
        <v>19</v>
      </c>
      <c r="D110" t="s">
        <v>10</v>
      </c>
      <c r="E110" t="s">
        <v>12</v>
      </c>
      <c r="F110">
        <f>VLOOKUP(B110,Catalogue!$A$1:$F$51,5,FALSE)</f>
        <v>12</v>
      </c>
      <c r="G110">
        <f>VLOOKUP(B110,Catalogue!$A$1:$F$51,6,FALSE)</f>
        <v>17.52</v>
      </c>
      <c r="H110">
        <f t="shared" si="4"/>
        <v>228</v>
      </c>
      <c r="I110">
        <f t="shared" si="5"/>
        <v>332.88</v>
      </c>
      <c r="J110">
        <f t="shared" si="6"/>
        <v>104.88</v>
      </c>
      <c r="K110" t="str">
        <v>Vaseline Lip Care</v>
      </c>
      <c r="L110" t="str">
        <f t="shared" si="7"/>
        <v>Apr</v>
      </c>
      <c r="M110" t="str">
        <v>Personal Care</v>
      </c>
    </row>
    <row r="111" spans="1:13" x14ac:dyDescent="0.35">
      <c r="A111" s="8">
        <v>45401</v>
      </c>
      <c r="B111" t="s">
        <v>27</v>
      </c>
      <c r="C111">
        <v>2</v>
      </c>
      <c r="D111" t="s">
        <v>11</v>
      </c>
      <c r="E111" t="s">
        <v>12</v>
      </c>
      <c r="F111">
        <f>VLOOKUP(B111,Catalogue!$A$1:$F$51,5,FALSE)</f>
        <v>133</v>
      </c>
      <c r="G111">
        <f>VLOOKUP(B111,Catalogue!$A$1:$F$51,6,FALSE)</f>
        <v>187.53</v>
      </c>
      <c r="H111">
        <f t="shared" si="4"/>
        <v>266</v>
      </c>
      <c r="I111">
        <f t="shared" si="5"/>
        <v>375.06</v>
      </c>
      <c r="J111">
        <f t="shared" si="6"/>
        <v>109.06</v>
      </c>
      <c r="K111" t="str">
        <v>Johnson’s Baby Powder</v>
      </c>
      <c r="L111" t="str">
        <f t="shared" si="7"/>
        <v>Apr</v>
      </c>
      <c r="M111" t="str">
        <v>Personal Care</v>
      </c>
    </row>
    <row r="112" spans="1:13" x14ac:dyDescent="0.35">
      <c r="A112" s="8">
        <v>45402</v>
      </c>
      <c r="B112" t="s">
        <v>45</v>
      </c>
      <c r="C112">
        <v>8</v>
      </c>
      <c r="D112" t="s">
        <v>13</v>
      </c>
      <c r="E112" t="s">
        <v>11</v>
      </c>
      <c r="F112">
        <f>VLOOKUP(B112,Catalogue!$A$1:$F$51,5,FALSE)</f>
        <v>136</v>
      </c>
      <c r="G112">
        <f>VLOOKUP(B112,Catalogue!$A$1:$F$51,6,FALSE)</f>
        <v>179.52</v>
      </c>
      <c r="H112">
        <f t="shared" si="4"/>
        <v>1088</v>
      </c>
      <c r="I112">
        <f t="shared" si="5"/>
        <v>1436.16</v>
      </c>
      <c r="J112">
        <f t="shared" si="6"/>
        <v>348.16000000000008</v>
      </c>
      <c r="K112" t="str">
        <v>Coca-Cola Can</v>
      </c>
      <c r="L112" t="str">
        <f t="shared" si="7"/>
        <v>Apr</v>
      </c>
      <c r="M112" t="str">
        <v>Beverages</v>
      </c>
    </row>
    <row r="113" spans="1:13" x14ac:dyDescent="0.35">
      <c r="A113" s="8">
        <v>45403</v>
      </c>
      <c r="B113" t="s">
        <v>156</v>
      </c>
      <c r="C113">
        <v>10</v>
      </c>
      <c r="D113" t="s">
        <v>13</v>
      </c>
      <c r="E113" t="s">
        <v>12</v>
      </c>
      <c r="F113">
        <f>VLOOKUP(B113,Catalogue!$A$1:$F$51,5,FALSE)</f>
        <v>123</v>
      </c>
      <c r="G113">
        <f>VLOOKUP(B113,Catalogue!$A$1:$F$51,6,FALSE)</f>
        <v>135.30000000000001</v>
      </c>
      <c r="H113">
        <f t="shared" si="4"/>
        <v>1230</v>
      </c>
      <c r="I113">
        <f t="shared" si="5"/>
        <v>1353</v>
      </c>
      <c r="J113">
        <f t="shared" si="6"/>
        <v>123</v>
      </c>
      <c r="K113" t="str">
        <v>Pepsi Bottle</v>
      </c>
      <c r="L113" t="str">
        <f t="shared" si="7"/>
        <v>Apr</v>
      </c>
      <c r="M113" t="str">
        <v>Beverages</v>
      </c>
    </row>
    <row r="114" spans="1:13" x14ac:dyDescent="0.35">
      <c r="A114" s="8">
        <v>45404</v>
      </c>
      <c r="B114" t="s">
        <v>96</v>
      </c>
      <c r="C114">
        <v>12</v>
      </c>
      <c r="D114" t="s">
        <v>11</v>
      </c>
      <c r="E114" t="s">
        <v>12</v>
      </c>
      <c r="F114">
        <f>VLOOKUP(B114,Catalogue!$A$1:$F$51,5,FALSE)</f>
        <v>44</v>
      </c>
      <c r="G114">
        <f>VLOOKUP(B114,Catalogue!$A$1:$F$51,6,FALSE)</f>
        <v>48.4</v>
      </c>
      <c r="H114">
        <f t="shared" si="4"/>
        <v>528</v>
      </c>
      <c r="I114">
        <f t="shared" si="5"/>
        <v>580.79999999999995</v>
      </c>
      <c r="J114">
        <f t="shared" si="6"/>
        <v>52.799999999999955</v>
      </c>
      <c r="K114" t="str">
        <v>Red Bull</v>
      </c>
      <c r="L114" t="str">
        <f t="shared" si="7"/>
        <v>Apr</v>
      </c>
      <c r="M114" t="str">
        <v>Beverages</v>
      </c>
    </row>
    <row r="115" spans="1:13" x14ac:dyDescent="0.35">
      <c r="A115" s="8">
        <v>45405</v>
      </c>
      <c r="B115" t="s">
        <v>104</v>
      </c>
      <c r="C115">
        <v>13</v>
      </c>
      <c r="D115" t="s">
        <v>10</v>
      </c>
      <c r="E115" t="s">
        <v>11</v>
      </c>
      <c r="F115">
        <f>VLOOKUP(B115,Catalogue!$A$1:$F$51,5,FALSE)</f>
        <v>124</v>
      </c>
      <c r="G115">
        <f>VLOOKUP(B115,Catalogue!$A$1:$F$51,6,FALSE)</f>
        <v>163.68</v>
      </c>
      <c r="H115">
        <f t="shared" si="4"/>
        <v>1612</v>
      </c>
      <c r="I115">
        <f t="shared" si="5"/>
        <v>2127.84</v>
      </c>
      <c r="J115">
        <f t="shared" si="6"/>
        <v>515.84000000000015</v>
      </c>
      <c r="K115" t="str">
        <v>Tropicana Orange Juice</v>
      </c>
      <c r="L115" t="str">
        <f t="shared" si="7"/>
        <v>Apr</v>
      </c>
      <c r="M115" t="str">
        <v>Beverages</v>
      </c>
    </row>
    <row r="116" spans="1:13" x14ac:dyDescent="0.35">
      <c r="A116" s="8">
        <v>45406</v>
      </c>
      <c r="B116" t="s">
        <v>138</v>
      </c>
      <c r="C116">
        <v>12</v>
      </c>
      <c r="D116" t="s">
        <v>10</v>
      </c>
      <c r="E116" t="s">
        <v>12</v>
      </c>
      <c r="F116">
        <f>VLOOKUP(B116,Catalogue!$A$1:$F$51,5,FALSE)</f>
        <v>71</v>
      </c>
      <c r="G116">
        <f>VLOOKUP(B116,Catalogue!$A$1:$F$51,6,FALSE)</f>
        <v>79.52</v>
      </c>
      <c r="H116">
        <f t="shared" si="4"/>
        <v>852</v>
      </c>
      <c r="I116">
        <f t="shared" si="5"/>
        <v>954.24</v>
      </c>
      <c r="J116">
        <f t="shared" si="6"/>
        <v>102.24000000000001</v>
      </c>
      <c r="K116" t="str">
        <v>Minute Maid Pulpy</v>
      </c>
      <c r="L116" t="str">
        <f t="shared" si="7"/>
        <v>Apr</v>
      </c>
      <c r="M116" t="str">
        <v>Beverages</v>
      </c>
    </row>
    <row r="117" spans="1:13" x14ac:dyDescent="0.35">
      <c r="A117" s="8">
        <v>45407</v>
      </c>
      <c r="B117" t="s">
        <v>71</v>
      </c>
      <c r="C117">
        <v>18</v>
      </c>
      <c r="D117" t="s">
        <v>11</v>
      </c>
      <c r="E117" t="s">
        <v>11</v>
      </c>
      <c r="F117">
        <f>VLOOKUP(B117,Catalogue!$A$1:$F$51,5,FALSE)</f>
        <v>10</v>
      </c>
      <c r="G117">
        <f>VLOOKUP(B117,Catalogue!$A$1:$F$51,6,FALSE)</f>
        <v>14.600000000000001</v>
      </c>
      <c r="H117">
        <f t="shared" si="4"/>
        <v>180</v>
      </c>
      <c r="I117">
        <f t="shared" si="5"/>
        <v>262.8</v>
      </c>
      <c r="J117">
        <f t="shared" si="6"/>
        <v>82.800000000000011</v>
      </c>
      <c r="K117" t="str">
        <v>Frooti Mango Drink</v>
      </c>
      <c r="L117" t="str">
        <f t="shared" si="7"/>
        <v>Apr</v>
      </c>
      <c r="M117" t="str">
        <v>Beverages</v>
      </c>
    </row>
    <row r="118" spans="1:13" x14ac:dyDescent="0.35">
      <c r="A118" s="8">
        <v>45408</v>
      </c>
      <c r="B118" t="s">
        <v>99</v>
      </c>
      <c r="C118">
        <v>13</v>
      </c>
      <c r="D118" t="s">
        <v>10</v>
      </c>
      <c r="E118" t="s">
        <v>12</v>
      </c>
      <c r="F118">
        <f>VLOOKUP(B118,Catalogue!$A$1:$F$51,5,FALSE)</f>
        <v>71</v>
      </c>
      <c r="G118">
        <f>VLOOKUP(B118,Catalogue!$A$1:$F$51,6,FALSE)</f>
        <v>95.85</v>
      </c>
      <c r="H118">
        <f t="shared" si="4"/>
        <v>923</v>
      </c>
      <c r="I118">
        <f t="shared" si="5"/>
        <v>1246.05</v>
      </c>
      <c r="J118">
        <f t="shared" si="6"/>
        <v>323.04999999999995</v>
      </c>
      <c r="K118" t="str">
        <v>Nestlé Iced Tea</v>
      </c>
      <c r="L118" t="str">
        <f t="shared" si="7"/>
        <v>Apr</v>
      </c>
      <c r="M118" t="str">
        <v>Beverages</v>
      </c>
    </row>
    <row r="119" spans="1:13" x14ac:dyDescent="0.35">
      <c r="A119" s="8">
        <v>45409</v>
      </c>
      <c r="B119" t="s">
        <v>58</v>
      </c>
      <c r="C119">
        <v>4</v>
      </c>
      <c r="D119" t="s">
        <v>10</v>
      </c>
      <c r="E119" t="s">
        <v>11</v>
      </c>
      <c r="F119">
        <f>VLOOKUP(B119,Catalogue!$A$1:$F$51,5,FALSE)</f>
        <v>105</v>
      </c>
      <c r="G119">
        <f>VLOOKUP(B119,Catalogue!$A$1:$F$51,6,FALSE)</f>
        <v>148.05000000000001</v>
      </c>
      <c r="H119">
        <f t="shared" si="4"/>
        <v>420</v>
      </c>
      <c r="I119">
        <f t="shared" si="5"/>
        <v>592.20000000000005</v>
      </c>
      <c r="J119">
        <f t="shared" si="6"/>
        <v>172.20000000000005</v>
      </c>
      <c r="K119" t="str">
        <v>Real Mixed Fruit Juice</v>
      </c>
      <c r="L119" t="str">
        <f t="shared" si="7"/>
        <v>Apr</v>
      </c>
      <c r="M119" t="str">
        <v>Beverages</v>
      </c>
    </row>
    <row r="120" spans="1:13" x14ac:dyDescent="0.35">
      <c r="A120" s="8">
        <v>45410</v>
      </c>
      <c r="B120" t="s">
        <v>162</v>
      </c>
      <c r="C120">
        <v>9</v>
      </c>
      <c r="D120" t="s">
        <v>11</v>
      </c>
      <c r="E120" t="s">
        <v>12</v>
      </c>
      <c r="F120">
        <f>VLOOKUP(B120,Catalogue!$A$1:$F$51,5,FALSE)</f>
        <v>12</v>
      </c>
      <c r="G120">
        <f>VLOOKUP(B120,Catalogue!$A$1:$F$51,6,FALSE)</f>
        <v>17.52</v>
      </c>
      <c r="H120">
        <f t="shared" si="4"/>
        <v>108</v>
      </c>
      <c r="I120">
        <f t="shared" si="5"/>
        <v>157.68</v>
      </c>
      <c r="J120">
        <f t="shared" si="6"/>
        <v>49.680000000000007</v>
      </c>
      <c r="K120" t="str">
        <v>Amul Kool Flavored Milk</v>
      </c>
      <c r="L120" t="str">
        <f t="shared" si="7"/>
        <v>Apr</v>
      </c>
      <c r="M120" t="str">
        <v>Beverages</v>
      </c>
    </row>
    <row r="121" spans="1:13" x14ac:dyDescent="0.35">
      <c r="A121" s="8">
        <v>45411</v>
      </c>
      <c r="B121" t="s">
        <v>18</v>
      </c>
      <c r="C121">
        <v>1</v>
      </c>
      <c r="D121" t="s">
        <v>13</v>
      </c>
      <c r="E121" t="s">
        <v>12</v>
      </c>
      <c r="F121">
        <f>VLOOKUP(B121,Catalogue!$A$1:$F$51,5,FALSE)</f>
        <v>105</v>
      </c>
      <c r="G121">
        <f>VLOOKUP(B121,Catalogue!$A$1:$F$51,6,FALSE)</f>
        <v>117.6</v>
      </c>
      <c r="H121">
        <f t="shared" si="4"/>
        <v>105</v>
      </c>
      <c r="I121">
        <f t="shared" si="5"/>
        <v>117.6</v>
      </c>
      <c r="J121">
        <f t="shared" si="6"/>
        <v>12.599999999999994</v>
      </c>
      <c r="K121" t="str">
        <v>Paper Boat Aam Panna</v>
      </c>
      <c r="L121" t="str">
        <f t="shared" si="7"/>
        <v>Apr</v>
      </c>
      <c r="M121" t="str">
        <v>Beverages</v>
      </c>
    </row>
    <row r="122" spans="1:13" x14ac:dyDescent="0.35">
      <c r="A122" s="8">
        <v>45412</v>
      </c>
      <c r="B122" t="s">
        <v>102</v>
      </c>
      <c r="C122">
        <v>3</v>
      </c>
      <c r="D122" t="s">
        <v>13</v>
      </c>
      <c r="E122" t="s">
        <v>11</v>
      </c>
      <c r="F122">
        <f>VLOOKUP(B122,Catalogue!$A$1:$F$51,5,FALSE)</f>
        <v>133</v>
      </c>
      <c r="G122">
        <f>VLOOKUP(B122,Catalogue!$A$1:$F$51,6,FALSE)</f>
        <v>194.18</v>
      </c>
      <c r="H122">
        <f t="shared" si="4"/>
        <v>399</v>
      </c>
      <c r="I122">
        <f t="shared" si="5"/>
        <v>582.54</v>
      </c>
      <c r="J122">
        <f t="shared" si="6"/>
        <v>183.53999999999996</v>
      </c>
      <c r="K122" t="str">
        <v>Maggi Noodles</v>
      </c>
      <c r="L122" t="str">
        <f t="shared" si="7"/>
        <v>Apr</v>
      </c>
      <c r="M122" t="str">
        <v>Packaged Foods</v>
      </c>
    </row>
    <row r="123" spans="1:13" x14ac:dyDescent="0.35">
      <c r="A123" s="8">
        <v>45413</v>
      </c>
      <c r="B123" t="s">
        <v>144</v>
      </c>
      <c r="C123">
        <v>19</v>
      </c>
      <c r="D123" t="s">
        <v>11</v>
      </c>
      <c r="E123" t="s">
        <v>12</v>
      </c>
      <c r="F123">
        <f>VLOOKUP(B123,Catalogue!$A$1:$F$51,5,FALSE)</f>
        <v>124</v>
      </c>
      <c r="G123">
        <f>VLOOKUP(B123,Catalogue!$A$1:$F$51,6,FALSE)</f>
        <v>140.12</v>
      </c>
      <c r="H123">
        <f t="shared" si="4"/>
        <v>2356</v>
      </c>
      <c r="I123">
        <f t="shared" si="5"/>
        <v>2662.28</v>
      </c>
      <c r="J123">
        <f t="shared" si="6"/>
        <v>306.2800000000002</v>
      </c>
      <c r="K123" t="str">
        <v>Sunfeast Biscuits</v>
      </c>
      <c r="L123" t="str">
        <f t="shared" si="7"/>
        <v>May</v>
      </c>
      <c r="M123" t="str">
        <v>Packaged Foods</v>
      </c>
    </row>
    <row r="124" spans="1:13" x14ac:dyDescent="0.35">
      <c r="A124" s="8">
        <v>45414</v>
      </c>
      <c r="B124" t="s">
        <v>84</v>
      </c>
      <c r="C124">
        <v>6</v>
      </c>
      <c r="D124" t="s">
        <v>10</v>
      </c>
      <c r="E124" t="s">
        <v>12</v>
      </c>
      <c r="F124">
        <f>VLOOKUP(B124,Catalogue!$A$1:$F$51,5,FALSE)</f>
        <v>136</v>
      </c>
      <c r="G124">
        <f>VLOOKUP(B124,Catalogue!$A$1:$F$51,6,FALSE)</f>
        <v>153.68</v>
      </c>
      <c r="H124">
        <f t="shared" si="4"/>
        <v>816</v>
      </c>
      <c r="I124">
        <f t="shared" si="5"/>
        <v>922.08</v>
      </c>
      <c r="J124">
        <f t="shared" si="6"/>
        <v>106.08000000000004</v>
      </c>
      <c r="K124" t="str">
        <v>Nestlé Cerelac</v>
      </c>
      <c r="L124" t="str">
        <f t="shared" si="7"/>
        <v>May</v>
      </c>
      <c r="M124" t="str">
        <v>Packaged Foods</v>
      </c>
    </row>
    <row r="125" spans="1:13" x14ac:dyDescent="0.35">
      <c r="A125" s="8">
        <v>45415</v>
      </c>
      <c r="B125" t="s">
        <v>45</v>
      </c>
      <c r="C125">
        <v>2</v>
      </c>
      <c r="D125" t="s">
        <v>10</v>
      </c>
      <c r="E125" t="s">
        <v>11</v>
      </c>
      <c r="F125">
        <f>VLOOKUP(B125,Catalogue!$A$1:$F$51,5,FALSE)</f>
        <v>136</v>
      </c>
      <c r="G125">
        <f>VLOOKUP(B125,Catalogue!$A$1:$F$51,6,FALSE)</f>
        <v>179.52</v>
      </c>
      <c r="H125">
        <f t="shared" si="4"/>
        <v>272</v>
      </c>
      <c r="I125">
        <f t="shared" si="5"/>
        <v>359.04</v>
      </c>
      <c r="J125">
        <f t="shared" si="6"/>
        <v>87.04000000000002</v>
      </c>
      <c r="K125" t="str">
        <v>MTR Ready Curry</v>
      </c>
      <c r="L125" t="str">
        <f t="shared" si="7"/>
        <v>May</v>
      </c>
      <c r="M125" t="str">
        <v>Packaged Foods</v>
      </c>
    </row>
    <row r="126" spans="1:13" x14ac:dyDescent="0.35">
      <c r="A126" s="8">
        <v>45416</v>
      </c>
      <c r="B126" t="s">
        <v>61</v>
      </c>
      <c r="C126">
        <v>14</v>
      </c>
      <c r="D126" t="s">
        <v>11</v>
      </c>
      <c r="E126" t="s">
        <v>12</v>
      </c>
      <c r="F126">
        <f>VLOOKUP(B126,Catalogue!$A$1:$F$51,5,FALSE)</f>
        <v>44</v>
      </c>
      <c r="G126">
        <f>VLOOKUP(B126,Catalogue!$A$1:$F$51,6,FALSE)</f>
        <v>72.599999999999994</v>
      </c>
      <c r="H126">
        <f t="shared" si="4"/>
        <v>616</v>
      </c>
      <c r="I126">
        <f t="shared" si="5"/>
        <v>1016.3999999999999</v>
      </c>
      <c r="J126">
        <f t="shared" si="6"/>
        <v>400.39999999999986</v>
      </c>
      <c r="K126" t="str">
        <v>Haldiram's Bhujia</v>
      </c>
      <c r="L126" t="str">
        <f t="shared" si="7"/>
        <v>May</v>
      </c>
      <c r="M126" t="str">
        <v>Packaged Foods</v>
      </c>
    </row>
    <row r="127" spans="1:13" x14ac:dyDescent="0.35">
      <c r="A127" s="8">
        <v>45417</v>
      </c>
      <c r="B127" t="s">
        <v>125</v>
      </c>
      <c r="C127">
        <v>13</v>
      </c>
      <c r="D127" t="s">
        <v>10</v>
      </c>
      <c r="E127" t="s">
        <v>11</v>
      </c>
      <c r="F127">
        <f>VLOOKUP(B127,Catalogue!$A$1:$F$51,5,FALSE)</f>
        <v>63</v>
      </c>
      <c r="G127">
        <f>VLOOKUP(B127,Catalogue!$A$1:$F$51,6,FALSE)</f>
        <v>69.3</v>
      </c>
      <c r="H127">
        <f t="shared" si="4"/>
        <v>819</v>
      </c>
      <c r="I127">
        <f t="shared" si="5"/>
        <v>900.9</v>
      </c>
      <c r="J127">
        <f t="shared" si="6"/>
        <v>81.899999999999977</v>
      </c>
      <c r="K127" t="str">
        <v>Lay's Chips</v>
      </c>
      <c r="L127" t="str">
        <f t="shared" si="7"/>
        <v>May</v>
      </c>
      <c r="M127" t="str">
        <v>Packaged Foods</v>
      </c>
    </row>
    <row r="128" spans="1:13" x14ac:dyDescent="0.35">
      <c r="A128" s="8">
        <v>45418</v>
      </c>
      <c r="B128" t="s">
        <v>39</v>
      </c>
      <c r="C128">
        <v>8</v>
      </c>
      <c r="D128" t="s">
        <v>10</v>
      </c>
      <c r="E128" t="s">
        <v>12</v>
      </c>
      <c r="F128">
        <f>VLOOKUP(B128,Catalogue!$A$1:$F$51,5,FALSE)</f>
        <v>10</v>
      </c>
      <c r="G128">
        <f>VLOOKUP(B128,Catalogue!$A$1:$F$51,6,FALSE)</f>
        <v>13.5</v>
      </c>
      <c r="H128">
        <f t="shared" si="4"/>
        <v>80</v>
      </c>
      <c r="I128">
        <f t="shared" si="5"/>
        <v>108</v>
      </c>
      <c r="J128">
        <f t="shared" si="6"/>
        <v>28</v>
      </c>
      <c r="K128" t="str">
        <v>Kellogg’s Corn Flakes</v>
      </c>
      <c r="L128" t="str">
        <f t="shared" si="7"/>
        <v>May</v>
      </c>
      <c r="M128" t="str">
        <v>Packaged Foods</v>
      </c>
    </row>
    <row r="129" spans="1:13" x14ac:dyDescent="0.35">
      <c r="A129" s="8">
        <v>45419</v>
      </c>
      <c r="B129" t="s">
        <v>96</v>
      </c>
      <c r="C129">
        <v>20</v>
      </c>
      <c r="D129" t="s">
        <v>11</v>
      </c>
      <c r="E129" t="s">
        <v>11</v>
      </c>
      <c r="F129">
        <f>VLOOKUP(B129,Catalogue!$A$1:$F$51,5,FALSE)</f>
        <v>44</v>
      </c>
      <c r="G129">
        <f>VLOOKUP(B129,Catalogue!$A$1:$F$51,6,FALSE)</f>
        <v>48.4</v>
      </c>
      <c r="H129">
        <f t="shared" si="4"/>
        <v>880</v>
      </c>
      <c r="I129">
        <f t="shared" si="5"/>
        <v>968</v>
      </c>
      <c r="J129">
        <f t="shared" si="6"/>
        <v>88</v>
      </c>
      <c r="K129" t="str">
        <v>Britannia Cake</v>
      </c>
      <c r="L129" t="str">
        <f t="shared" si="7"/>
        <v>May</v>
      </c>
      <c r="M129" t="str">
        <v>Packaged Foods</v>
      </c>
    </row>
    <row r="130" spans="1:13" x14ac:dyDescent="0.35">
      <c r="A130" s="8">
        <v>45420</v>
      </c>
      <c r="B130" t="s">
        <v>87</v>
      </c>
      <c r="C130">
        <v>18</v>
      </c>
      <c r="D130" t="s">
        <v>13</v>
      </c>
      <c r="E130" t="s">
        <v>12</v>
      </c>
      <c r="F130">
        <f>VLOOKUP(B130,Catalogue!$A$1:$F$51,5,FALSE)</f>
        <v>12</v>
      </c>
      <c r="G130">
        <f>VLOOKUP(B130,Catalogue!$A$1:$F$51,6,FALSE)</f>
        <v>16.920000000000002</v>
      </c>
      <c r="H130">
        <f t="shared" si="4"/>
        <v>216</v>
      </c>
      <c r="I130">
        <f t="shared" si="5"/>
        <v>304.56000000000006</v>
      </c>
      <c r="J130">
        <f t="shared" si="6"/>
        <v>88.560000000000059</v>
      </c>
      <c r="K130" t="str">
        <v>Yippee Noodles</v>
      </c>
      <c r="L130" t="str">
        <f t="shared" si="7"/>
        <v>May</v>
      </c>
      <c r="M130" t="str">
        <v>Packaged Foods</v>
      </c>
    </row>
    <row r="131" spans="1:13" x14ac:dyDescent="0.35">
      <c r="A131" s="8">
        <v>45421</v>
      </c>
      <c r="B131" t="s">
        <v>14</v>
      </c>
      <c r="C131">
        <v>13</v>
      </c>
      <c r="D131" t="s">
        <v>13</v>
      </c>
      <c r="E131" t="s">
        <v>12</v>
      </c>
      <c r="F131">
        <f>VLOOKUP(B131,Catalogue!$A$1:$F$51,5,FALSE)</f>
        <v>98</v>
      </c>
      <c r="G131">
        <f>VLOOKUP(B131,Catalogue!$A$1:$F$51,6,FALSE)</f>
        <v>129.36000000000001</v>
      </c>
      <c r="H131">
        <f t="shared" ref="H131:H194" si="8">C131*F131</f>
        <v>1274</v>
      </c>
      <c r="I131">
        <f t="shared" ref="I131:I194" si="9">C131*G131</f>
        <v>1681.6800000000003</v>
      </c>
      <c r="J131">
        <f t="shared" ref="J131:J194" si="10">I131-H131</f>
        <v>407.68000000000029</v>
      </c>
      <c r="K131" t="str">
        <v>Top Ramen</v>
      </c>
      <c r="L131" t="str">
        <f t="shared" ref="L131:L194" si="11">TEXT(A131,"mmm")</f>
        <v>May</v>
      </c>
      <c r="M131" t="str">
        <v>Packaged Foods</v>
      </c>
    </row>
    <row r="132" spans="1:13" x14ac:dyDescent="0.35">
      <c r="A132" s="8">
        <v>45422</v>
      </c>
      <c r="B132" t="s">
        <v>141</v>
      </c>
      <c r="C132">
        <v>20</v>
      </c>
      <c r="D132" t="s">
        <v>11</v>
      </c>
      <c r="E132" t="s">
        <v>11</v>
      </c>
      <c r="F132">
        <f>VLOOKUP(B132,Catalogue!$A$1:$F$51,5,FALSE)</f>
        <v>133</v>
      </c>
      <c r="G132">
        <f>VLOOKUP(B132,Catalogue!$A$1:$F$51,6,FALSE)</f>
        <v>151.62</v>
      </c>
      <c r="H132">
        <f t="shared" si="8"/>
        <v>2660</v>
      </c>
      <c r="I132">
        <f t="shared" si="9"/>
        <v>3032.4</v>
      </c>
      <c r="J132">
        <f t="shared" si="10"/>
        <v>372.40000000000009</v>
      </c>
      <c r="K132" t="str">
        <v>Surf Excel Detergent</v>
      </c>
      <c r="L132" t="str">
        <f t="shared" si="11"/>
        <v>May</v>
      </c>
      <c r="M132" t="str">
        <v>Household Cleaning</v>
      </c>
    </row>
    <row r="133" spans="1:13" x14ac:dyDescent="0.35">
      <c r="A133" s="8">
        <v>45423</v>
      </c>
      <c r="B133" t="s">
        <v>138</v>
      </c>
      <c r="C133">
        <v>8</v>
      </c>
      <c r="D133" t="s">
        <v>10</v>
      </c>
      <c r="E133" t="s">
        <v>12</v>
      </c>
      <c r="F133">
        <f>VLOOKUP(B133,Catalogue!$A$1:$F$51,5,FALSE)</f>
        <v>71</v>
      </c>
      <c r="G133">
        <f>VLOOKUP(B133,Catalogue!$A$1:$F$51,6,FALSE)</f>
        <v>79.52</v>
      </c>
      <c r="H133">
        <f t="shared" si="8"/>
        <v>568</v>
      </c>
      <c r="I133">
        <f t="shared" si="9"/>
        <v>636.16</v>
      </c>
      <c r="J133">
        <f t="shared" si="10"/>
        <v>68.159999999999968</v>
      </c>
      <c r="K133" t="str">
        <v>Vim Dishwash Bar</v>
      </c>
      <c r="L133" t="str">
        <f t="shared" si="11"/>
        <v>May</v>
      </c>
      <c r="M133" t="str">
        <v>Household Cleaning</v>
      </c>
    </row>
    <row r="134" spans="1:13" x14ac:dyDescent="0.35">
      <c r="A134" s="8">
        <v>45424</v>
      </c>
      <c r="B134" t="s">
        <v>156</v>
      </c>
      <c r="C134">
        <v>1</v>
      </c>
      <c r="D134" t="s">
        <v>10</v>
      </c>
      <c r="E134" t="s">
        <v>12</v>
      </c>
      <c r="F134">
        <f>VLOOKUP(B134,Catalogue!$A$1:$F$51,5,FALSE)</f>
        <v>123</v>
      </c>
      <c r="G134">
        <f>VLOOKUP(B134,Catalogue!$A$1:$F$51,6,FALSE)</f>
        <v>135.30000000000001</v>
      </c>
      <c r="H134">
        <f t="shared" si="8"/>
        <v>123</v>
      </c>
      <c r="I134">
        <f t="shared" si="9"/>
        <v>135.30000000000001</v>
      </c>
      <c r="J134">
        <f t="shared" si="10"/>
        <v>12.300000000000011</v>
      </c>
      <c r="K134" t="str">
        <v>Harpic Toilet Cleaner</v>
      </c>
      <c r="L134" t="str">
        <f t="shared" si="11"/>
        <v>May</v>
      </c>
      <c r="M134" t="str">
        <v>Household Cleaning</v>
      </c>
    </row>
    <row r="135" spans="1:13" x14ac:dyDescent="0.35">
      <c r="A135" s="8">
        <v>45425</v>
      </c>
      <c r="B135" t="s">
        <v>87</v>
      </c>
      <c r="C135">
        <v>13</v>
      </c>
      <c r="D135" t="s">
        <v>11</v>
      </c>
      <c r="E135" t="s">
        <v>11</v>
      </c>
      <c r="F135">
        <f>VLOOKUP(B135,Catalogue!$A$1:$F$51,5,FALSE)</f>
        <v>12</v>
      </c>
      <c r="G135">
        <f>VLOOKUP(B135,Catalogue!$A$1:$F$51,6,FALSE)</f>
        <v>16.920000000000002</v>
      </c>
      <c r="H135">
        <f t="shared" si="8"/>
        <v>156</v>
      </c>
      <c r="I135">
        <f t="shared" si="9"/>
        <v>219.96000000000004</v>
      </c>
      <c r="J135">
        <f t="shared" si="10"/>
        <v>63.960000000000036</v>
      </c>
      <c r="K135" t="str">
        <v>Lizol Floor Cleaner</v>
      </c>
      <c r="L135" t="str">
        <f t="shared" si="11"/>
        <v>May</v>
      </c>
      <c r="M135" t="str">
        <v>Household Cleaning</v>
      </c>
    </row>
    <row r="136" spans="1:13" x14ac:dyDescent="0.35">
      <c r="A136" s="8">
        <v>45426</v>
      </c>
      <c r="B136" t="s">
        <v>128</v>
      </c>
      <c r="C136">
        <v>17</v>
      </c>
      <c r="D136" t="s">
        <v>10</v>
      </c>
      <c r="E136" t="s">
        <v>12</v>
      </c>
      <c r="F136">
        <f>VLOOKUP(B136,Catalogue!$A$1:$F$51,5,FALSE)</f>
        <v>98</v>
      </c>
      <c r="G136">
        <f>VLOOKUP(B136,Catalogue!$A$1:$F$51,6,FALSE)</f>
        <v>132.30000000000001</v>
      </c>
      <c r="H136">
        <f t="shared" si="8"/>
        <v>1666</v>
      </c>
      <c r="I136">
        <f t="shared" si="9"/>
        <v>2249.1000000000004</v>
      </c>
      <c r="J136">
        <f t="shared" si="10"/>
        <v>583.10000000000036</v>
      </c>
      <c r="K136" t="str">
        <v>Domex Disinfectant</v>
      </c>
      <c r="L136" t="str">
        <f t="shared" si="11"/>
        <v>May</v>
      </c>
      <c r="M136" t="str">
        <v>Household Cleaning</v>
      </c>
    </row>
    <row r="137" spans="1:13" x14ac:dyDescent="0.35">
      <c r="A137" s="8">
        <v>45427</v>
      </c>
      <c r="B137" t="s">
        <v>67</v>
      </c>
      <c r="C137">
        <v>6</v>
      </c>
      <c r="D137" t="s">
        <v>10</v>
      </c>
      <c r="E137" t="s">
        <v>11</v>
      </c>
      <c r="F137">
        <f>VLOOKUP(B137,Catalogue!$A$1:$F$51,5,FALSE)</f>
        <v>133</v>
      </c>
      <c r="G137">
        <f>VLOOKUP(B137,Catalogue!$A$1:$F$51,6,FALSE)</f>
        <v>146.30000000000001</v>
      </c>
      <c r="H137">
        <f t="shared" si="8"/>
        <v>798</v>
      </c>
      <c r="I137">
        <f t="shared" si="9"/>
        <v>877.80000000000007</v>
      </c>
      <c r="J137">
        <f t="shared" si="10"/>
        <v>79.800000000000068</v>
      </c>
      <c r="K137" t="str">
        <v>Rin Bar</v>
      </c>
      <c r="L137" t="str">
        <f t="shared" si="11"/>
        <v>May</v>
      </c>
      <c r="M137" t="str">
        <v>Household Cleaning</v>
      </c>
    </row>
    <row r="138" spans="1:13" x14ac:dyDescent="0.35">
      <c r="A138" s="8">
        <v>45428</v>
      </c>
      <c r="B138" t="s">
        <v>24</v>
      </c>
      <c r="C138">
        <v>2</v>
      </c>
      <c r="D138" t="s">
        <v>11</v>
      </c>
      <c r="E138" t="s">
        <v>12</v>
      </c>
      <c r="F138">
        <f>VLOOKUP(B138,Catalogue!$A$1:$F$51,5,FALSE)</f>
        <v>71</v>
      </c>
      <c r="G138">
        <f>VLOOKUP(B138,Catalogue!$A$1:$F$51,6,FALSE)</f>
        <v>80.23</v>
      </c>
      <c r="H138">
        <f t="shared" si="8"/>
        <v>142</v>
      </c>
      <c r="I138">
        <f t="shared" si="9"/>
        <v>160.46</v>
      </c>
      <c r="J138">
        <f t="shared" si="10"/>
        <v>18.460000000000008</v>
      </c>
      <c r="K138" t="str">
        <v>Scotch-Brite Scrub Pad</v>
      </c>
      <c r="L138" t="str">
        <f t="shared" si="11"/>
        <v>May</v>
      </c>
      <c r="M138" t="str">
        <v>Household Cleaning</v>
      </c>
    </row>
    <row r="139" spans="1:13" x14ac:dyDescent="0.35">
      <c r="A139" s="8">
        <v>45429</v>
      </c>
      <c r="B139" t="s">
        <v>156</v>
      </c>
      <c r="C139">
        <v>9</v>
      </c>
      <c r="D139" t="s">
        <v>13</v>
      </c>
      <c r="E139" t="s">
        <v>11</v>
      </c>
      <c r="F139">
        <f>VLOOKUP(B139,Catalogue!$A$1:$F$51,5,FALSE)</f>
        <v>123</v>
      </c>
      <c r="G139">
        <f>VLOOKUP(B139,Catalogue!$A$1:$F$51,6,FALSE)</f>
        <v>135.30000000000001</v>
      </c>
      <c r="H139">
        <f t="shared" si="8"/>
        <v>1107</v>
      </c>
      <c r="I139">
        <f t="shared" si="9"/>
        <v>1217.7</v>
      </c>
      <c r="J139">
        <f t="shared" si="10"/>
        <v>110.70000000000005</v>
      </c>
      <c r="K139" t="str">
        <v>Pril Dishwash Liquid</v>
      </c>
      <c r="L139" t="str">
        <f t="shared" si="11"/>
        <v>May</v>
      </c>
      <c r="M139" t="str">
        <v>Household Cleaning</v>
      </c>
    </row>
    <row r="140" spans="1:13" x14ac:dyDescent="0.35">
      <c r="A140" s="8">
        <v>45430</v>
      </c>
      <c r="B140" t="s">
        <v>156</v>
      </c>
      <c r="C140">
        <v>11</v>
      </c>
      <c r="D140" t="s">
        <v>13</v>
      </c>
      <c r="E140" t="s">
        <v>12</v>
      </c>
      <c r="F140">
        <f>VLOOKUP(B140,Catalogue!$A$1:$F$51,5,FALSE)</f>
        <v>123</v>
      </c>
      <c r="G140">
        <f>VLOOKUP(B140,Catalogue!$A$1:$F$51,6,FALSE)</f>
        <v>135.30000000000001</v>
      </c>
      <c r="H140">
        <f t="shared" si="8"/>
        <v>1353</v>
      </c>
      <c r="I140">
        <f t="shared" si="9"/>
        <v>1488.3000000000002</v>
      </c>
      <c r="J140">
        <f t="shared" si="10"/>
        <v>135.30000000000018</v>
      </c>
      <c r="K140" t="str">
        <v>Exo Dishwash Bar</v>
      </c>
      <c r="L140" t="str">
        <f t="shared" si="11"/>
        <v>May</v>
      </c>
      <c r="M140" t="str">
        <v>Household Cleaning</v>
      </c>
    </row>
    <row r="141" spans="1:13" x14ac:dyDescent="0.35">
      <c r="A141" s="8">
        <v>45431</v>
      </c>
      <c r="B141" t="s">
        <v>49</v>
      </c>
      <c r="C141">
        <v>7</v>
      </c>
      <c r="D141" t="s">
        <v>11</v>
      </c>
      <c r="E141" t="s">
        <v>12</v>
      </c>
      <c r="F141">
        <f>VLOOKUP(B141,Catalogue!$A$1:$F$51,5,FALSE)</f>
        <v>12</v>
      </c>
      <c r="G141">
        <f>VLOOKUP(B141,Catalogue!$A$1:$F$51,6,FALSE)</f>
        <v>13.44</v>
      </c>
      <c r="H141">
        <f t="shared" si="8"/>
        <v>84</v>
      </c>
      <c r="I141">
        <f t="shared" si="9"/>
        <v>94.08</v>
      </c>
      <c r="J141">
        <f t="shared" si="10"/>
        <v>10.079999999999998</v>
      </c>
      <c r="K141" t="str">
        <v>Odonil Room Freshener</v>
      </c>
      <c r="L141" t="str">
        <f t="shared" si="11"/>
        <v>May</v>
      </c>
      <c r="M141" t="str">
        <v>Household Cleaning</v>
      </c>
    </row>
    <row r="142" spans="1:13" x14ac:dyDescent="0.35">
      <c r="A142" s="8">
        <v>45432</v>
      </c>
      <c r="B142" t="s">
        <v>93</v>
      </c>
      <c r="C142">
        <v>6</v>
      </c>
      <c r="D142" t="s">
        <v>10</v>
      </c>
      <c r="E142" t="s">
        <v>11</v>
      </c>
      <c r="F142">
        <f>VLOOKUP(B142,Catalogue!$A$1:$F$51,5,FALSE)</f>
        <v>105</v>
      </c>
      <c r="G142">
        <f>VLOOKUP(B142,Catalogue!$A$1:$F$51,6,FALSE)</f>
        <v>117.6</v>
      </c>
      <c r="H142">
        <f t="shared" si="8"/>
        <v>630</v>
      </c>
      <c r="I142">
        <f t="shared" si="9"/>
        <v>705.59999999999991</v>
      </c>
      <c r="J142">
        <f t="shared" si="10"/>
        <v>75.599999999999909</v>
      </c>
      <c r="K142" t="str">
        <v>Whisper Sanitary Pads</v>
      </c>
      <c r="L142" t="str">
        <f t="shared" si="11"/>
        <v>May</v>
      </c>
      <c r="M142" t="str">
        <v>Paper &amp; Essentials</v>
      </c>
    </row>
    <row r="143" spans="1:13" x14ac:dyDescent="0.35">
      <c r="A143" s="8">
        <v>45433</v>
      </c>
      <c r="B143" t="s">
        <v>78</v>
      </c>
      <c r="C143">
        <v>20</v>
      </c>
      <c r="D143" t="s">
        <v>10</v>
      </c>
      <c r="E143" t="s">
        <v>12</v>
      </c>
      <c r="F143">
        <f>VLOOKUP(B143,Catalogue!$A$1:$F$51,5,FALSE)</f>
        <v>10</v>
      </c>
      <c r="G143">
        <f>VLOOKUP(B143,Catalogue!$A$1:$F$51,6,FALSE)</f>
        <v>11.2</v>
      </c>
      <c r="H143">
        <f t="shared" si="8"/>
        <v>200</v>
      </c>
      <c r="I143">
        <f t="shared" si="9"/>
        <v>224</v>
      </c>
      <c r="J143">
        <f t="shared" si="10"/>
        <v>24</v>
      </c>
      <c r="K143" t="str">
        <v>Sofy Pantyliners</v>
      </c>
      <c r="L143" t="str">
        <f t="shared" si="11"/>
        <v>May</v>
      </c>
      <c r="M143" t="str">
        <v>Paper &amp; Essentials</v>
      </c>
    </row>
    <row r="144" spans="1:13" x14ac:dyDescent="0.35">
      <c r="A144" s="8">
        <v>45434</v>
      </c>
      <c r="B144" t="s">
        <v>144</v>
      </c>
      <c r="C144">
        <v>13</v>
      </c>
      <c r="D144" t="s">
        <v>11</v>
      </c>
      <c r="E144" t="s">
        <v>12</v>
      </c>
      <c r="F144">
        <f>VLOOKUP(B144,Catalogue!$A$1:$F$51,5,FALSE)</f>
        <v>124</v>
      </c>
      <c r="G144">
        <f>VLOOKUP(B144,Catalogue!$A$1:$F$51,6,FALSE)</f>
        <v>140.12</v>
      </c>
      <c r="H144">
        <f t="shared" si="8"/>
        <v>1612</v>
      </c>
      <c r="I144">
        <f t="shared" si="9"/>
        <v>1821.56</v>
      </c>
      <c r="J144">
        <f t="shared" si="10"/>
        <v>209.55999999999995</v>
      </c>
      <c r="K144" t="str">
        <v>Kleenex Tissue Box</v>
      </c>
      <c r="L144" t="str">
        <f t="shared" si="11"/>
        <v>May</v>
      </c>
      <c r="M144" t="str">
        <v>Paper &amp; Essentials</v>
      </c>
    </row>
    <row r="145" spans="1:13" x14ac:dyDescent="0.35">
      <c r="A145" s="8">
        <v>45435</v>
      </c>
      <c r="B145" t="s">
        <v>153</v>
      </c>
      <c r="C145">
        <v>1</v>
      </c>
      <c r="D145" t="s">
        <v>10</v>
      </c>
      <c r="E145" t="s">
        <v>11</v>
      </c>
      <c r="F145">
        <f>VLOOKUP(B145,Catalogue!$A$1:$F$51,5,FALSE)</f>
        <v>10</v>
      </c>
      <c r="G145">
        <f>VLOOKUP(B145,Catalogue!$A$1:$F$51,6,FALSE)</f>
        <v>11.2</v>
      </c>
      <c r="H145">
        <f t="shared" si="8"/>
        <v>10</v>
      </c>
      <c r="I145">
        <f t="shared" si="9"/>
        <v>11.2</v>
      </c>
      <c r="J145">
        <f t="shared" si="10"/>
        <v>1.1999999999999993</v>
      </c>
      <c r="K145" t="str">
        <v>Origami Kitchen Towels</v>
      </c>
      <c r="L145" t="str">
        <f t="shared" si="11"/>
        <v>May</v>
      </c>
      <c r="M145" t="str">
        <v>Paper &amp; Essentials</v>
      </c>
    </row>
    <row r="146" spans="1:13" x14ac:dyDescent="0.35">
      <c r="A146" s="8">
        <v>45436</v>
      </c>
      <c r="B146" t="s">
        <v>24</v>
      </c>
      <c r="C146">
        <v>8</v>
      </c>
      <c r="D146" t="s">
        <v>10</v>
      </c>
      <c r="E146" t="s">
        <v>12</v>
      </c>
      <c r="F146">
        <f>VLOOKUP(B146,Catalogue!$A$1:$F$51,5,FALSE)</f>
        <v>71</v>
      </c>
      <c r="G146">
        <f>VLOOKUP(B146,Catalogue!$A$1:$F$51,6,FALSE)</f>
        <v>80.23</v>
      </c>
      <c r="H146">
        <f t="shared" si="8"/>
        <v>568</v>
      </c>
      <c r="I146">
        <f t="shared" si="9"/>
        <v>641.84</v>
      </c>
      <c r="J146">
        <f t="shared" si="10"/>
        <v>73.840000000000032</v>
      </c>
      <c r="K146" t="str">
        <v>Stayfree Ultra</v>
      </c>
      <c r="L146" t="str">
        <f t="shared" si="11"/>
        <v>May</v>
      </c>
      <c r="M146" t="str">
        <v>Paper &amp; Essentials</v>
      </c>
    </row>
    <row r="147" spans="1:13" x14ac:dyDescent="0.35">
      <c r="A147" s="8">
        <v>45437</v>
      </c>
      <c r="B147" t="s">
        <v>119</v>
      </c>
      <c r="C147">
        <v>7</v>
      </c>
      <c r="D147" t="s">
        <v>11</v>
      </c>
      <c r="E147" t="s">
        <v>11</v>
      </c>
      <c r="F147">
        <f>VLOOKUP(B147,Catalogue!$A$1:$F$51,5,FALSE)</f>
        <v>136</v>
      </c>
      <c r="G147">
        <f>VLOOKUP(B147,Catalogue!$A$1:$F$51,6,FALSE)</f>
        <v>224.4</v>
      </c>
      <c r="H147">
        <f t="shared" si="8"/>
        <v>952</v>
      </c>
      <c r="I147">
        <f t="shared" si="9"/>
        <v>1570.8</v>
      </c>
      <c r="J147">
        <f t="shared" si="10"/>
        <v>618.79999999999995</v>
      </c>
      <c r="K147" t="str">
        <v>Scott Toilet Paper</v>
      </c>
      <c r="L147" t="str">
        <f t="shared" si="11"/>
        <v>May</v>
      </c>
      <c r="M147" t="str">
        <v>Paper &amp; Essentials</v>
      </c>
    </row>
    <row r="148" spans="1:13" x14ac:dyDescent="0.35">
      <c r="A148" s="8">
        <v>45438</v>
      </c>
      <c r="B148" t="s">
        <v>134</v>
      </c>
      <c r="C148">
        <v>15</v>
      </c>
      <c r="D148" t="s">
        <v>13</v>
      </c>
      <c r="E148" t="s">
        <v>12</v>
      </c>
      <c r="F148">
        <f>VLOOKUP(B148,Catalogue!$A$1:$F$51,5,FALSE)</f>
        <v>44</v>
      </c>
      <c r="G148">
        <f>VLOOKUP(B148,Catalogue!$A$1:$F$51,6,FALSE)</f>
        <v>58.08</v>
      </c>
      <c r="H148">
        <f t="shared" si="8"/>
        <v>660</v>
      </c>
      <c r="I148">
        <f t="shared" si="9"/>
        <v>871.19999999999993</v>
      </c>
      <c r="J148">
        <f t="shared" si="10"/>
        <v>211.19999999999993</v>
      </c>
      <c r="K148" t="str">
        <v>Bella Napkins</v>
      </c>
      <c r="L148" t="str">
        <f t="shared" si="11"/>
        <v>May</v>
      </c>
      <c r="M148" t="str">
        <v>Paper &amp; Essentials</v>
      </c>
    </row>
    <row r="149" spans="1:13" x14ac:dyDescent="0.35">
      <c r="A149" s="8">
        <v>45439</v>
      </c>
      <c r="B149" t="s">
        <v>67</v>
      </c>
      <c r="C149">
        <v>20</v>
      </c>
      <c r="D149" t="s">
        <v>13</v>
      </c>
      <c r="E149" t="s">
        <v>11</v>
      </c>
      <c r="F149">
        <f>VLOOKUP(B149,Catalogue!$A$1:$F$51,5,FALSE)</f>
        <v>133</v>
      </c>
      <c r="G149">
        <f>VLOOKUP(B149,Catalogue!$A$1:$F$51,6,FALSE)</f>
        <v>146.30000000000001</v>
      </c>
      <c r="H149">
        <f t="shared" si="8"/>
        <v>2660</v>
      </c>
      <c r="I149">
        <f t="shared" si="9"/>
        <v>2926</v>
      </c>
      <c r="J149">
        <f t="shared" si="10"/>
        <v>266</v>
      </c>
      <c r="K149" t="str">
        <v>Everteen Wipes</v>
      </c>
      <c r="L149" t="str">
        <f t="shared" si="11"/>
        <v>May</v>
      </c>
      <c r="M149" t="str">
        <v>Paper &amp; Essentials</v>
      </c>
    </row>
    <row r="150" spans="1:13" x14ac:dyDescent="0.35">
      <c r="A150" s="8">
        <v>45440</v>
      </c>
      <c r="B150" t="s">
        <v>93</v>
      </c>
      <c r="C150">
        <v>6</v>
      </c>
      <c r="D150" t="s">
        <v>11</v>
      </c>
      <c r="E150" t="s">
        <v>12</v>
      </c>
      <c r="F150">
        <f>VLOOKUP(B150,Catalogue!$A$1:$F$51,5,FALSE)</f>
        <v>105</v>
      </c>
      <c r="G150">
        <f>VLOOKUP(B150,Catalogue!$A$1:$F$51,6,FALSE)</f>
        <v>117.6</v>
      </c>
      <c r="H150">
        <f t="shared" si="8"/>
        <v>630</v>
      </c>
      <c r="I150">
        <f t="shared" si="9"/>
        <v>705.59999999999991</v>
      </c>
      <c r="J150">
        <f t="shared" si="10"/>
        <v>75.599999999999909</v>
      </c>
      <c r="K150" t="str">
        <v>Premier Facial Tissues</v>
      </c>
      <c r="L150" t="str">
        <f t="shared" si="11"/>
        <v>May</v>
      </c>
      <c r="M150" t="str">
        <v>Paper &amp; Essentials</v>
      </c>
    </row>
    <row r="151" spans="1:13" x14ac:dyDescent="0.35">
      <c r="A151" s="8">
        <v>45441</v>
      </c>
      <c r="B151" t="s">
        <v>84</v>
      </c>
      <c r="C151">
        <v>10</v>
      </c>
      <c r="D151" t="s">
        <v>10</v>
      </c>
      <c r="E151" t="s">
        <v>12</v>
      </c>
      <c r="F151">
        <f>VLOOKUP(B151,Catalogue!$A$1:$F$51,5,FALSE)</f>
        <v>136</v>
      </c>
      <c r="G151">
        <f>VLOOKUP(B151,Catalogue!$A$1:$F$51,6,FALSE)</f>
        <v>153.68</v>
      </c>
      <c r="H151">
        <f t="shared" si="8"/>
        <v>1360</v>
      </c>
      <c r="I151">
        <f t="shared" si="9"/>
        <v>1536.8000000000002</v>
      </c>
      <c r="J151">
        <f t="shared" si="10"/>
        <v>176.80000000000018</v>
      </c>
      <c r="K151" t="str">
        <v>Wet Wipes - Himalaya</v>
      </c>
      <c r="L151" t="str">
        <f t="shared" si="11"/>
        <v>May</v>
      </c>
      <c r="M151" t="str">
        <v>Paper &amp; Essentials</v>
      </c>
    </row>
    <row r="152" spans="1:13" x14ac:dyDescent="0.35">
      <c r="A152" s="8">
        <v>45442</v>
      </c>
      <c r="B152" t="s">
        <v>52</v>
      </c>
      <c r="C152">
        <v>19</v>
      </c>
      <c r="D152" t="s">
        <v>10</v>
      </c>
      <c r="E152" t="s">
        <v>11</v>
      </c>
      <c r="F152">
        <f>VLOOKUP(B152,Catalogue!$A$1:$F$51,5,FALSE)</f>
        <v>63</v>
      </c>
      <c r="G152">
        <f>VLOOKUP(B152,Catalogue!$A$1:$F$51,6,FALSE)</f>
        <v>71.819999999999993</v>
      </c>
      <c r="H152">
        <f t="shared" si="8"/>
        <v>1197</v>
      </c>
      <c r="I152">
        <f t="shared" si="9"/>
        <v>1364.58</v>
      </c>
      <c r="J152">
        <f t="shared" si="10"/>
        <v>167.57999999999993</v>
      </c>
      <c r="K152" t="str" cm="1">
        <f t="array" ref="K152:K201">Catalogue!B2:B51</f>
        <v>Dove Soap</v>
      </c>
      <c r="L152" t="str">
        <f t="shared" si="11"/>
        <v>May</v>
      </c>
      <c r="M152" t="str" cm="1">
        <f t="array" ref="M152:M201">Catalogue!C2:C51</f>
        <v>Personal Care</v>
      </c>
    </row>
    <row r="153" spans="1:13" x14ac:dyDescent="0.35">
      <c r="A153" s="8">
        <v>45443</v>
      </c>
      <c r="B153" t="s">
        <v>153</v>
      </c>
      <c r="C153">
        <v>1</v>
      </c>
      <c r="D153" t="s">
        <v>11</v>
      </c>
      <c r="E153" t="s">
        <v>12</v>
      </c>
      <c r="F153">
        <f>VLOOKUP(B153,Catalogue!$A$1:$F$51,5,FALSE)</f>
        <v>10</v>
      </c>
      <c r="G153">
        <f>VLOOKUP(B153,Catalogue!$A$1:$F$51,6,FALSE)</f>
        <v>11.2</v>
      </c>
      <c r="H153">
        <f t="shared" si="8"/>
        <v>10</v>
      </c>
      <c r="I153">
        <f t="shared" si="9"/>
        <v>11.2</v>
      </c>
      <c r="J153">
        <f t="shared" si="10"/>
        <v>1.1999999999999993</v>
      </c>
      <c r="K153" t="str">
        <v>Colgate Toothpaste</v>
      </c>
      <c r="L153" t="str">
        <f t="shared" si="11"/>
        <v>May</v>
      </c>
      <c r="M153" t="str">
        <v>Personal Care</v>
      </c>
    </row>
    <row r="154" spans="1:13" x14ac:dyDescent="0.35">
      <c r="A154" s="8">
        <v>45444</v>
      </c>
      <c r="B154" t="s">
        <v>24</v>
      </c>
      <c r="C154">
        <v>4</v>
      </c>
      <c r="D154" t="s">
        <v>10</v>
      </c>
      <c r="E154" t="s">
        <v>12</v>
      </c>
      <c r="F154">
        <f>VLOOKUP(B154,Catalogue!$A$1:$F$51,5,FALSE)</f>
        <v>71</v>
      </c>
      <c r="G154">
        <f>VLOOKUP(B154,Catalogue!$A$1:$F$51,6,FALSE)</f>
        <v>80.23</v>
      </c>
      <c r="H154">
        <f t="shared" si="8"/>
        <v>284</v>
      </c>
      <c r="I154">
        <f t="shared" si="9"/>
        <v>320.92</v>
      </c>
      <c r="J154">
        <f t="shared" si="10"/>
        <v>36.920000000000016</v>
      </c>
      <c r="K154" t="str">
        <v>Lifebuoy Handwash</v>
      </c>
      <c r="L154" t="str">
        <f t="shared" si="11"/>
        <v>Jun</v>
      </c>
      <c r="M154" t="str">
        <v>Personal Care</v>
      </c>
    </row>
    <row r="155" spans="1:13" x14ac:dyDescent="0.35">
      <c r="A155" s="8">
        <v>45445</v>
      </c>
      <c r="B155" t="s">
        <v>156</v>
      </c>
      <c r="C155">
        <v>17</v>
      </c>
      <c r="D155" t="s">
        <v>10</v>
      </c>
      <c r="E155" t="s">
        <v>11</v>
      </c>
      <c r="F155">
        <f>VLOOKUP(B155,Catalogue!$A$1:$F$51,5,FALSE)</f>
        <v>123</v>
      </c>
      <c r="G155">
        <f>VLOOKUP(B155,Catalogue!$A$1:$F$51,6,FALSE)</f>
        <v>135.30000000000001</v>
      </c>
      <c r="H155">
        <f t="shared" si="8"/>
        <v>2091</v>
      </c>
      <c r="I155">
        <f t="shared" si="9"/>
        <v>2300.1000000000004</v>
      </c>
      <c r="J155">
        <f t="shared" si="10"/>
        <v>209.10000000000036</v>
      </c>
      <c r="K155" t="str">
        <v>Nivea Body Lotion</v>
      </c>
      <c r="L155" t="str">
        <f t="shared" si="11"/>
        <v>Jun</v>
      </c>
      <c r="M155" t="str">
        <v>Personal Care</v>
      </c>
    </row>
    <row r="156" spans="1:13" x14ac:dyDescent="0.35">
      <c r="A156" s="8">
        <v>45446</v>
      </c>
      <c r="B156" t="s">
        <v>64</v>
      </c>
      <c r="C156">
        <v>7</v>
      </c>
      <c r="D156" t="s">
        <v>11</v>
      </c>
      <c r="E156" t="s">
        <v>12</v>
      </c>
      <c r="F156">
        <f>VLOOKUP(B156,Catalogue!$A$1:$F$51,5,FALSE)</f>
        <v>71</v>
      </c>
      <c r="G156">
        <f>VLOOKUP(B156,Catalogue!$A$1:$F$51,6,FALSE)</f>
        <v>79.52</v>
      </c>
      <c r="H156">
        <f t="shared" si="8"/>
        <v>497</v>
      </c>
      <c r="I156">
        <f t="shared" si="9"/>
        <v>556.64</v>
      </c>
      <c r="J156">
        <f t="shared" si="10"/>
        <v>59.639999999999986</v>
      </c>
      <c r="K156" t="str">
        <v>Gillette Shaving Foam</v>
      </c>
      <c r="L156" t="str">
        <f t="shared" si="11"/>
        <v>Jun</v>
      </c>
      <c r="M156" t="str">
        <v>Personal Care</v>
      </c>
    </row>
    <row r="157" spans="1:13" x14ac:dyDescent="0.35">
      <c r="A157" s="8">
        <v>45447</v>
      </c>
      <c r="B157" t="s">
        <v>134</v>
      </c>
      <c r="C157">
        <v>18</v>
      </c>
      <c r="D157" t="s">
        <v>13</v>
      </c>
      <c r="E157" t="s">
        <v>11</v>
      </c>
      <c r="F157">
        <f>VLOOKUP(B157,Catalogue!$A$1:$F$51,5,FALSE)</f>
        <v>44</v>
      </c>
      <c r="G157">
        <f>VLOOKUP(B157,Catalogue!$A$1:$F$51,6,FALSE)</f>
        <v>58.08</v>
      </c>
      <c r="H157">
        <f t="shared" si="8"/>
        <v>792</v>
      </c>
      <c r="I157">
        <f t="shared" si="9"/>
        <v>1045.44</v>
      </c>
      <c r="J157">
        <f t="shared" si="10"/>
        <v>253.44000000000005</v>
      </c>
      <c r="K157" t="str">
        <v>Pantene Shampoo</v>
      </c>
      <c r="L157" t="str">
        <f t="shared" si="11"/>
        <v>Jun</v>
      </c>
      <c r="M157" t="str">
        <v>Personal Care</v>
      </c>
    </row>
    <row r="158" spans="1:13" x14ac:dyDescent="0.35">
      <c r="A158" s="8">
        <v>45448</v>
      </c>
      <c r="B158" t="s">
        <v>42</v>
      </c>
      <c r="C158">
        <v>6</v>
      </c>
      <c r="D158" t="s">
        <v>13</v>
      </c>
      <c r="E158" t="s">
        <v>12</v>
      </c>
      <c r="F158">
        <f>VLOOKUP(B158,Catalogue!$A$1:$F$51,5,FALSE)</f>
        <v>123</v>
      </c>
      <c r="G158">
        <f>VLOOKUP(B158,Catalogue!$A$1:$F$51,6,FALSE)</f>
        <v>179.58</v>
      </c>
      <c r="H158">
        <f t="shared" si="8"/>
        <v>738</v>
      </c>
      <c r="I158">
        <f t="shared" si="9"/>
        <v>1077.48</v>
      </c>
      <c r="J158">
        <f t="shared" si="10"/>
        <v>339.48</v>
      </c>
      <c r="K158" t="str">
        <v>Dettol Antiseptic Liquid</v>
      </c>
      <c r="L158" t="str">
        <f t="shared" si="11"/>
        <v>Jun</v>
      </c>
      <c r="M158" t="str">
        <v>Personal Care</v>
      </c>
    </row>
    <row r="159" spans="1:13" x14ac:dyDescent="0.35">
      <c r="A159" s="8">
        <v>45449</v>
      </c>
      <c r="B159" t="s">
        <v>45</v>
      </c>
      <c r="C159">
        <v>11</v>
      </c>
      <c r="D159" t="s">
        <v>11</v>
      </c>
      <c r="E159" t="s">
        <v>11</v>
      </c>
      <c r="F159">
        <f>VLOOKUP(B159,Catalogue!$A$1:$F$51,5,FALSE)</f>
        <v>136</v>
      </c>
      <c r="G159">
        <f>VLOOKUP(B159,Catalogue!$A$1:$F$51,6,FALSE)</f>
        <v>179.52</v>
      </c>
      <c r="H159">
        <f t="shared" si="8"/>
        <v>1496</v>
      </c>
      <c r="I159">
        <f t="shared" si="9"/>
        <v>1974.72</v>
      </c>
      <c r="J159">
        <f t="shared" si="10"/>
        <v>478.72</v>
      </c>
      <c r="K159" t="str">
        <v>Himalaya Face Wash</v>
      </c>
      <c r="L159" t="str">
        <f t="shared" si="11"/>
        <v>Jun</v>
      </c>
      <c r="M159" t="str">
        <v>Personal Care</v>
      </c>
    </row>
    <row r="160" spans="1:13" x14ac:dyDescent="0.35">
      <c r="A160" s="8">
        <v>45450</v>
      </c>
      <c r="B160" t="s">
        <v>111</v>
      </c>
      <c r="C160">
        <v>9</v>
      </c>
      <c r="D160" t="s">
        <v>10</v>
      </c>
      <c r="E160" t="s">
        <v>12</v>
      </c>
      <c r="F160">
        <f>VLOOKUP(B160,Catalogue!$A$1:$F$51,5,FALSE)</f>
        <v>16</v>
      </c>
      <c r="G160">
        <f>VLOOKUP(B160,Catalogue!$A$1:$F$51,6,FALSE)</f>
        <v>18.240000000000002</v>
      </c>
      <c r="H160">
        <f t="shared" si="8"/>
        <v>144</v>
      </c>
      <c r="I160">
        <f t="shared" si="9"/>
        <v>164.16000000000003</v>
      </c>
      <c r="J160">
        <f t="shared" si="10"/>
        <v>20.160000000000025</v>
      </c>
      <c r="K160" t="str">
        <v>Vaseline Lip Care</v>
      </c>
      <c r="L160" t="str">
        <f t="shared" si="11"/>
        <v>Jun</v>
      </c>
      <c r="M160" t="str">
        <v>Personal Care</v>
      </c>
    </row>
    <row r="161" spans="1:13" x14ac:dyDescent="0.35">
      <c r="A161" s="8">
        <v>45451</v>
      </c>
      <c r="B161" t="s">
        <v>14</v>
      </c>
      <c r="C161">
        <v>9</v>
      </c>
      <c r="D161" t="s">
        <v>10</v>
      </c>
      <c r="E161" t="s">
        <v>12</v>
      </c>
      <c r="F161">
        <f>VLOOKUP(B161,Catalogue!$A$1:$F$51,5,FALSE)</f>
        <v>98</v>
      </c>
      <c r="G161">
        <f>VLOOKUP(B161,Catalogue!$A$1:$F$51,6,FALSE)</f>
        <v>129.36000000000001</v>
      </c>
      <c r="H161">
        <f t="shared" si="8"/>
        <v>882</v>
      </c>
      <c r="I161">
        <f t="shared" si="9"/>
        <v>1164.2400000000002</v>
      </c>
      <c r="J161">
        <f t="shared" si="10"/>
        <v>282.24000000000024</v>
      </c>
      <c r="K161" t="str">
        <v>Johnson’s Baby Powder</v>
      </c>
      <c r="L161" t="str">
        <f t="shared" si="11"/>
        <v>Jun</v>
      </c>
      <c r="M161" t="str">
        <v>Personal Care</v>
      </c>
    </row>
    <row r="162" spans="1:13" x14ac:dyDescent="0.35">
      <c r="A162" s="8">
        <v>45452</v>
      </c>
      <c r="B162" t="s">
        <v>90</v>
      </c>
      <c r="C162">
        <v>11</v>
      </c>
      <c r="D162" t="s">
        <v>11</v>
      </c>
      <c r="E162" t="s">
        <v>11</v>
      </c>
      <c r="F162">
        <f>VLOOKUP(B162,Catalogue!$A$1:$F$51,5,FALSE)</f>
        <v>98</v>
      </c>
      <c r="G162">
        <f>VLOOKUP(B162,Catalogue!$A$1:$F$51,6,FALSE)</f>
        <v>161.69999999999999</v>
      </c>
      <c r="H162">
        <f t="shared" si="8"/>
        <v>1078</v>
      </c>
      <c r="I162">
        <f t="shared" si="9"/>
        <v>1778.6999999999998</v>
      </c>
      <c r="J162">
        <f t="shared" si="10"/>
        <v>700.69999999999982</v>
      </c>
      <c r="K162" t="str">
        <v>Coca-Cola Can</v>
      </c>
      <c r="L162" t="str">
        <f t="shared" si="11"/>
        <v>Jun</v>
      </c>
      <c r="M162" t="str">
        <v>Beverages</v>
      </c>
    </row>
    <row r="163" spans="1:13" x14ac:dyDescent="0.35">
      <c r="A163" s="8">
        <v>45453</v>
      </c>
      <c r="B163" t="s">
        <v>24</v>
      </c>
      <c r="C163">
        <v>15</v>
      </c>
      <c r="D163" t="s">
        <v>10</v>
      </c>
      <c r="E163" t="s">
        <v>12</v>
      </c>
      <c r="F163">
        <f>VLOOKUP(B163,Catalogue!$A$1:$F$51,5,FALSE)</f>
        <v>71</v>
      </c>
      <c r="G163">
        <f>VLOOKUP(B163,Catalogue!$A$1:$F$51,6,FALSE)</f>
        <v>80.23</v>
      </c>
      <c r="H163">
        <f t="shared" si="8"/>
        <v>1065</v>
      </c>
      <c r="I163">
        <f t="shared" si="9"/>
        <v>1203.45</v>
      </c>
      <c r="J163">
        <f t="shared" si="10"/>
        <v>138.45000000000005</v>
      </c>
      <c r="K163" t="str">
        <v>Pepsi Bottle</v>
      </c>
      <c r="L163" t="str">
        <f t="shared" si="11"/>
        <v>Jun</v>
      </c>
      <c r="M163" t="str">
        <v>Beverages</v>
      </c>
    </row>
    <row r="164" spans="1:13" x14ac:dyDescent="0.35">
      <c r="A164" s="8">
        <v>45454</v>
      </c>
      <c r="B164" t="s">
        <v>108</v>
      </c>
      <c r="C164">
        <v>5</v>
      </c>
      <c r="D164" t="s">
        <v>10</v>
      </c>
      <c r="E164" t="s">
        <v>12</v>
      </c>
      <c r="F164">
        <f>VLOOKUP(B164,Catalogue!$A$1:$F$51,5,FALSE)</f>
        <v>10</v>
      </c>
      <c r="G164">
        <f>VLOOKUP(B164,Catalogue!$A$1:$F$51,6,FALSE)</f>
        <v>11.2</v>
      </c>
      <c r="H164">
        <f t="shared" si="8"/>
        <v>50</v>
      </c>
      <c r="I164">
        <f t="shared" si="9"/>
        <v>56</v>
      </c>
      <c r="J164">
        <f t="shared" si="10"/>
        <v>6</v>
      </c>
      <c r="K164" t="str">
        <v>Red Bull</v>
      </c>
      <c r="L164" t="str">
        <f t="shared" si="11"/>
        <v>Jun</v>
      </c>
      <c r="M164" t="str">
        <v>Beverages</v>
      </c>
    </row>
    <row r="165" spans="1:13" x14ac:dyDescent="0.35">
      <c r="A165" s="8">
        <v>45455</v>
      </c>
      <c r="B165" t="s">
        <v>30</v>
      </c>
      <c r="C165">
        <v>14</v>
      </c>
      <c r="D165" t="s">
        <v>11</v>
      </c>
      <c r="E165" t="s">
        <v>11</v>
      </c>
      <c r="F165">
        <f>VLOOKUP(B165,Catalogue!$A$1:$F$51,5,FALSE)</f>
        <v>124</v>
      </c>
      <c r="G165">
        <f>VLOOKUP(B165,Catalogue!$A$1:$F$51,6,FALSE)</f>
        <v>204.60000000000002</v>
      </c>
      <c r="H165">
        <f t="shared" si="8"/>
        <v>1736</v>
      </c>
      <c r="I165">
        <f t="shared" si="9"/>
        <v>2864.4000000000005</v>
      </c>
      <c r="J165">
        <f t="shared" si="10"/>
        <v>1128.4000000000005</v>
      </c>
      <c r="K165" t="str">
        <v>Tropicana Orange Juice</v>
      </c>
      <c r="L165" t="str">
        <f t="shared" si="11"/>
        <v>Jun</v>
      </c>
      <c r="M165" t="str">
        <v>Beverages</v>
      </c>
    </row>
    <row r="166" spans="1:13" x14ac:dyDescent="0.35">
      <c r="A166" s="8">
        <v>45456</v>
      </c>
      <c r="B166" t="s">
        <v>69</v>
      </c>
      <c r="C166">
        <v>1</v>
      </c>
      <c r="D166" t="s">
        <v>13</v>
      </c>
      <c r="E166" t="s">
        <v>12</v>
      </c>
      <c r="F166">
        <f>VLOOKUP(B166,Catalogue!$A$1:$F$51,5,FALSE)</f>
        <v>124</v>
      </c>
      <c r="G166">
        <f>VLOOKUP(B166,Catalogue!$A$1:$F$51,6,FALSE)</f>
        <v>167.4</v>
      </c>
      <c r="H166">
        <f t="shared" si="8"/>
        <v>124</v>
      </c>
      <c r="I166">
        <f t="shared" si="9"/>
        <v>167.4</v>
      </c>
      <c r="J166">
        <f t="shared" si="10"/>
        <v>43.400000000000006</v>
      </c>
      <c r="K166" t="str">
        <v>Minute Maid Pulpy</v>
      </c>
      <c r="L166" t="str">
        <f t="shared" si="11"/>
        <v>Jun</v>
      </c>
      <c r="M166" t="str">
        <v>Beverages</v>
      </c>
    </row>
    <row r="167" spans="1:13" x14ac:dyDescent="0.35">
      <c r="A167" s="8">
        <v>45457</v>
      </c>
      <c r="B167" t="s">
        <v>24</v>
      </c>
      <c r="C167">
        <v>6</v>
      </c>
      <c r="D167" t="s">
        <v>13</v>
      </c>
      <c r="E167" t="s">
        <v>11</v>
      </c>
      <c r="F167">
        <f>VLOOKUP(B167,Catalogue!$A$1:$F$51,5,FALSE)</f>
        <v>71</v>
      </c>
      <c r="G167">
        <f>VLOOKUP(B167,Catalogue!$A$1:$F$51,6,FALSE)</f>
        <v>80.23</v>
      </c>
      <c r="H167">
        <f t="shared" si="8"/>
        <v>426</v>
      </c>
      <c r="I167">
        <f t="shared" si="9"/>
        <v>481.38</v>
      </c>
      <c r="J167">
        <f t="shared" si="10"/>
        <v>55.379999999999995</v>
      </c>
      <c r="K167" t="str">
        <v>Frooti Mango Drink</v>
      </c>
      <c r="L167" t="str">
        <f t="shared" si="11"/>
        <v>Jun</v>
      </c>
      <c r="M167" t="str">
        <v>Beverages</v>
      </c>
    </row>
    <row r="168" spans="1:13" x14ac:dyDescent="0.35">
      <c r="A168" s="8">
        <v>45458</v>
      </c>
      <c r="B168" t="s">
        <v>108</v>
      </c>
      <c r="C168">
        <v>9</v>
      </c>
      <c r="D168" t="s">
        <v>11</v>
      </c>
      <c r="E168" t="s">
        <v>12</v>
      </c>
      <c r="F168">
        <f>VLOOKUP(B168,Catalogue!$A$1:$F$51,5,FALSE)</f>
        <v>10</v>
      </c>
      <c r="G168">
        <f>VLOOKUP(B168,Catalogue!$A$1:$F$51,6,FALSE)</f>
        <v>11.2</v>
      </c>
      <c r="H168">
        <f t="shared" si="8"/>
        <v>90</v>
      </c>
      <c r="I168">
        <f t="shared" si="9"/>
        <v>100.8</v>
      </c>
      <c r="J168">
        <f t="shared" si="10"/>
        <v>10.799999999999997</v>
      </c>
      <c r="K168" t="str">
        <v>Nestlé Iced Tea</v>
      </c>
      <c r="L168" t="str">
        <f t="shared" si="11"/>
        <v>Jun</v>
      </c>
      <c r="M168" t="str">
        <v>Beverages</v>
      </c>
    </row>
    <row r="169" spans="1:13" x14ac:dyDescent="0.35">
      <c r="A169" s="8">
        <v>45459</v>
      </c>
      <c r="B169" t="s">
        <v>42</v>
      </c>
      <c r="C169">
        <v>20</v>
      </c>
      <c r="D169" t="s">
        <v>10</v>
      </c>
      <c r="E169" t="s">
        <v>11</v>
      </c>
      <c r="F169">
        <f>VLOOKUP(B169,Catalogue!$A$1:$F$51,5,FALSE)</f>
        <v>123</v>
      </c>
      <c r="G169">
        <f>VLOOKUP(B169,Catalogue!$A$1:$F$51,6,FALSE)</f>
        <v>179.58</v>
      </c>
      <c r="H169">
        <f t="shared" si="8"/>
        <v>2460</v>
      </c>
      <c r="I169">
        <f t="shared" si="9"/>
        <v>3591.6000000000004</v>
      </c>
      <c r="J169">
        <f t="shared" si="10"/>
        <v>1131.6000000000004</v>
      </c>
      <c r="K169" t="str">
        <v>Real Mixed Fruit Juice</v>
      </c>
      <c r="L169" t="str">
        <f t="shared" si="11"/>
        <v>Jun</v>
      </c>
      <c r="M169" t="str">
        <v>Beverages</v>
      </c>
    </row>
    <row r="170" spans="1:13" x14ac:dyDescent="0.35">
      <c r="A170" s="8">
        <v>45460</v>
      </c>
      <c r="B170" t="s">
        <v>131</v>
      </c>
      <c r="C170">
        <v>13</v>
      </c>
      <c r="D170" t="s">
        <v>10</v>
      </c>
      <c r="E170" t="s">
        <v>12</v>
      </c>
      <c r="F170">
        <f>VLOOKUP(B170,Catalogue!$A$1:$F$51,5,FALSE)</f>
        <v>105</v>
      </c>
      <c r="G170">
        <f>VLOOKUP(B170,Catalogue!$A$1:$F$51,6,FALSE)</f>
        <v>153.30000000000001</v>
      </c>
      <c r="H170">
        <f t="shared" si="8"/>
        <v>1365</v>
      </c>
      <c r="I170">
        <f t="shared" si="9"/>
        <v>1992.9</v>
      </c>
      <c r="J170">
        <f t="shared" si="10"/>
        <v>627.90000000000009</v>
      </c>
      <c r="K170" t="str">
        <v>Amul Kool Flavored Milk</v>
      </c>
      <c r="L170" t="str">
        <f t="shared" si="11"/>
        <v>Jun</v>
      </c>
      <c r="M170" t="str">
        <v>Beverages</v>
      </c>
    </row>
    <row r="171" spans="1:13" x14ac:dyDescent="0.35">
      <c r="A171" s="8">
        <v>45461</v>
      </c>
      <c r="B171" t="s">
        <v>78</v>
      </c>
      <c r="C171">
        <v>7</v>
      </c>
      <c r="D171" t="s">
        <v>11</v>
      </c>
      <c r="E171" t="s">
        <v>12</v>
      </c>
      <c r="F171">
        <f>VLOOKUP(B171,Catalogue!$A$1:$F$51,5,FALSE)</f>
        <v>10</v>
      </c>
      <c r="G171">
        <f>VLOOKUP(B171,Catalogue!$A$1:$F$51,6,FALSE)</f>
        <v>11.2</v>
      </c>
      <c r="H171">
        <f t="shared" si="8"/>
        <v>70</v>
      </c>
      <c r="I171">
        <f t="shared" si="9"/>
        <v>78.399999999999991</v>
      </c>
      <c r="J171">
        <f t="shared" si="10"/>
        <v>8.3999999999999915</v>
      </c>
      <c r="K171" t="str">
        <v>Paper Boat Aam Panna</v>
      </c>
      <c r="L171" t="str">
        <f t="shared" si="11"/>
        <v>Jun</v>
      </c>
      <c r="M171" t="str">
        <v>Beverages</v>
      </c>
    </row>
    <row r="172" spans="1:13" x14ac:dyDescent="0.35">
      <c r="A172" s="8">
        <v>45462</v>
      </c>
      <c r="B172" t="s">
        <v>61</v>
      </c>
      <c r="C172">
        <v>14</v>
      </c>
      <c r="D172" t="s">
        <v>10</v>
      </c>
      <c r="E172" t="s">
        <v>11</v>
      </c>
      <c r="F172">
        <f>VLOOKUP(B172,Catalogue!$A$1:$F$51,5,FALSE)</f>
        <v>44</v>
      </c>
      <c r="G172">
        <f>VLOOKUP(B172,Catalogue!$A$1:$F$51,6,FALSE)</f>
        <v>72.599999999999994</v>
      </c>
      <c r="H172">
        <f t="shared" si="8"/>
        <v>616</v>
      </c>
      <c r="I172">
        <f t="shared" si="9"/>
        <v>1016.3999999999999</v>
      </c>
      <c r="J172">
        <f t="shared" si="10"/>
        <v>400.39999999999986</v>
      </c>
      <c r="K172" t="str">
        <v>Maggi Noodles</v>
      </c>
      <c r="L172" t="str">
        <f t="shared" si="11"/>
        <v>Jun</v>
      </c>
      <c r="M172" t="str">
        <v>Packaged Foods</v>
      </c>
    </row>
    <row r="173" spans="1:13" x14ac:dyDescent="0.35">
      <c r="A173" s="8">
        <v>45463</v>
      </c>
      <c r="B173" t="s">
        <v>90</v>
      </c>
      <c r="C173">
        <v>6</v>
      </c>
      <c r="D173" t="s">
        <v>10</v>
      </c>
      <c r="E173" t="s">
        <v>12</v>
      </c>
      <c r="F173">
        <f>VLOOKUP(B173,Catalogue!$A$1:$F$51,5,FALSE)</f>
        <v>98</v>
      </c>
      <c r="G173">
        <f>VLOOKUP(B173,Catalogue!$A$1:$F$51,6,FALSE)</f>
        <v>161.69999999999999</v>
      </c>
      <c r="H173">
        <f t="shared" si="8"/>
        <v>588</v>
      </c>
      <c r="I173">
        <f t="shared" si="9"/>
        <v>970.19999999999993</v>
      </c>
      <c r="J173">
        <f t="shared" si="10"/>
        <v>382.19999999999993</v>
      </c>
      <c r="K173" t="str">
        <v>Sunfeast Biscuits</v>
      </c>
      <c r="L173" t="str">
        <f t="shared" si="11"/>
        <v>Jun</v>
      </c>
      <c r="M173" t="str">
        <v>Packaged Foods</v>
      </c>
    </row>
    <row r="174" spans="1:13" x14ac:dyDescent="0.35">
      <c r="A174" s="8">
        <v>45464</v>
      </c>
      <c r="B174" t="s">
        <v>84</v>
      </c>
      <c r="C174">
        <v>6</v>
      </c>
      <c r="D174" t="s">
        <v>11</v>
      </c>
      <c r="E174" t="s">
        <v>12</v>
      </c>
      <c r="F174">
        <f>VLOOKUP(B174,Catalogue!$A$1:$F$51,5,FALSE)</f>
        <v>136</v>
      </c>
      <c r="G174">
        <f>VLOOKUP(B174,Catalogue!$A$1:$F$51,6,FALSE)</f>
        <v>153.68</v>
      </c>
      <c r="H174">
        <f t="shared" si="8"/>
        <v>816</v>
      </c>
      <c r="I174">
        <f t="shared" si="9"/>
        <v>922.08</v>
      </c>
      <c r="J174">
        <f t="shared" si="10"/>
        <v>106.08000000000004</v>
      </c>
      <c r="K174" t="str">
        <v>Nestlé Cerelac</v>
      </c>
      <c r="L174" t="str">
        <f t="shared" si="11"/>
        <v>Jun</v>
      </c>
      <c r="M174" t="str">
        <v>Packaged Foods</v>
      </c>
    </row>
    <row r="175" spans="1:13" x14ac:dyDescent="0.35">
      <c r="A175" s="8">
        <v>45465</v>
      </c>
      <c r="B175" t="s">
        <v>33</v>
      </c>
      <c r="C175">
        <v>5</v>
      </c>
      <c r="D175" t="s">
        <v>13</v>
      </c>
      <c r="E175" t="s">
        <v>11</v>
      </c>
      <c r="F175">
        <f>VLOOKUP(B175,Catalogue!$A$1:$F$51,5,FALSE)</f>
        <v>10</v>
      </c>
      <c r="G175">
        <f>VLOOKUP(B175,Catalogue!$A$1:$F$51,6,FALSE)</f>
        <v>11.2</v>
      </c>
      <c r="H175">
        <f t="shared" si="8"/>
        <v>50</v>
      </c>
      <c r="I175">
        <f t="shared" si="9"/>
        <v>56</v>
      </c>
      <c r="J175">
        <f t="shared" si="10"/>
        <v>6</v>
      </c>
      <c r="K175" t="str">
        <v>MTR Ready Curry</v>
      </c>
      <c r="L175" t="str">
        <f t="shared" si="11"/>
        <v>Jun</v>
      </c>
      <c r="M175" t="str">
        <v>Packaged Foods</v>
      </c>
    </row>
    <row r="176" spans="1:13" x14ac:dyDescent="0.35">
      <c r="A176" s="8">
        <v>45466</v>
      </c>
      <c r="B176" t="s">
        <v>78</v>
      </c>
      <c r="C176">
        <v>18</v>
      </c>
      <c r="D176" t="s">
        <v>13</v>
      </c>
      <c r="E176" t="s">
        <v>12</v>
      </c>
      <c r="F176">
        <f>VLOOKUP(B176,Catalogue!$A$1:$F$51,5,FALSE)</f>
        <v>10</v>
      </c>
      <c r="G176">
        <f>VLOOKUP(B176,Catalogue!$A$1:$F$51,6,FALSE)</f>
        <v>11.2</v>
      </c>
      <c r="H176">
        <f t="shared" si="8"/>
        <v>180</v>
      </c>
      <c r="I176">
        <f t="shared" si="9"/>
        <v>201.6</v>
      </c>
      <c r="J176">
        <f t="shared" si="10"/>
        <v>21.599999999999994</v>
      </c>
      <c r="K176" t="str">
        <v>Haldiram's Bhujia</v>
      </c>
      <c r="L176" t="str">
        <f t="shared" si="11"/>
        <v>Jun</v>
      </c>
      <c r="M176" t="str">
        <v>Packaged Foods</v>
      </c>
    </row>
    <row r="177" spans="1:13" x14ac:dyDescent="0.35">
      <c r="A177" s="8">
        <v>45467</v>
      </c>
      <c r="B177" t="s">
        <v>153</v>
      </c>
      <c r="C177">
        <v>13</v>
      </c>
      <c r="D177" t="s">
        <v>11</v>
      </c>
      <c r="E177" t="s">
        <v>11</v>
      </c>
      <c r="F177">
        <f>VLOOKUP(B177,Catalogue!$A$1:$F$51,5,FALSE)</f>
        <v>10</v>
      </c>
      <c r="G177">
        <f>VLOOKUP(B177,Catalogue!$A$1:$F$51,6,FALSE)</f>
        <v>11.2</v>
      </c>
      <c r="H177">
        <f t="shared" si="8"/>
        <v>130</v>
      </c>
      <c r="I177">
        <f t="shared" si="9"/>
        <v>145.6</v>
      </c>
      <c r="J177">
        <f t="shared" si="10"/>
        <v>15.599999999999994</v>
      </c>
      <c r="K177" t="str">
        <v>Lay's Chips</v>
      </c>
      <c r="L177" t="str">
        <f t="shared" si="11"/>
        <v>Jun</v>
      </c>
      <c r="M177" t="str">
        <v>Packaged Foods</v>
      </c>
    </row>
    <row r="178" spans="1:13" x14ac:dyDescent="0.35">
      <c r="A178" s="8">
        <v>45468</v>
      </c>
      <c r="B178" t="s">
        <v>55</v>
      </c>
      <c r="C178">
        <v>1</v>
      </c>
      <c r="D178" t="s">
        <v>10</v>
      </c>
      <c r="E178" t="s">
        <v>12</v>
      </c>
      <c r="F178">
        <f>VLOOKUP(B178,Catalogue!$A$1:$F$51,5,FALSE)</f>
        <v>98</v>
      </c>
      <c r="G178">
        <f>VLOOKUP(B178,Catalogue!$A$1:$F$51,6,FALSE)</f>
        <v>110.74</v>
      </c>
      <c r="H178">
        <f t="shared" si="8"/>
        <v>98</v>
      </c>
      <c r="I178">
        <f t="shared" si="9"/>
        <v>110.74</v>
      </c>
      <c r="J178">
        <f t="shared" si="10"/>
        <v>12.739999999999995</v>
      </c>
      <c r="K178" t="str">
        <v>Kellogg’s Corn Flakes</v>
      </c>
      <c r="L178" t="str">
        <f t="shared" si="11"/>
        <v>Jun</v>
      </c>
      <c r="M178" t="str">
        <v>Packaged Foods</v>
      </c>
    </row>
    <row r="179" spans="1:13" x14ac:dyDescent="0.35">
      <c r="A179" s="8">
        <v>45469</v>
      </c>
      <c r="B179" t="s">
        <v>33</v>
      </c>
      <c r="C179">
        <v>6</v>
      </c>
      <c r="D179" t="s">
        <v>10</v>
      </c>
      <c r="E179" t="s">
        <v>11</v>
      </c>
      <c r="F179">
        <f>VLOOKUP(B179,Catalogue!$A$1:$F$51,5,FALSE)</f>
        <v>10</v>
      </c>
      <c r="G179">
        <f>VLOOKUP(B179,Catalogue!$A$1:$F$51,6,FALSE)</f>
        <v>11.2</v>
      </c>
      <c r="H179">
        <f t="shared" si="8"/>
        <v>60</v>
      </c>
      <c r="I179">
        <f t="shared" si="9"/>
        <v>67.199999999999989</v>
      </c>
      <c r="J179">
        <f t="shared" si="10"/>
        <v>7.1999999999999886</v>
      </c>
      <c r="K179" t="str">
        <v>Britannia Cake</v>
      </c>
      <c r="L179" t="str">
        <f t="shared" si="11"/>
        <v>Jun</v>
      </c>
      <c r="M179" t="str">
        <v>Packaged Foods</v>
      </c>
    </row>
    <row r="180" spans="1:13" x14ac:dyDescent="0.35">
      <c r="A180" s="8">
        <v>45470</v>
      </c>
      <c r="B180" t="s">
        <v>30</v>
      </c>
      <c r="C180">
        <v>9</v>
      </c>
      <c r="D180" t="s">
        <v>11</v>
      </c>
      <c r="E180" t="s">
        <v>12</v>
      </c>
      <c r="F180">
        <f>VLOOKUP(B180,Catalogue!$A$1:$F$51,5,FALSE)</f>
        <v>124</v>
      </c>
      <c r="G180">
        <f>VLOOKUP(B180,Catalogue!$A$1:$F$51,6,FALSE)</f>
        <v>204.60000000000002</v>
      </c>
      <c r="H180">
        <f t="shared" si="8"/>
        <v>1116</v>
      </c>
      <c r="I180">
        <f t="shared" si="9"/>
        <v>1841.4</v>
      </c>
      <c r="J180">
        <f t="shared" si="10"/>
        <v>725.40000000000009</v>
      </c>
      <c r="K180" t="str">
        <v>Yippee Noodles</v>
      </c>
      <c r="L180" t="str">
        <f t="shared" si="11"/>
        <v>Jun</v>
      </c>
      <c r="M180" t="str">
        <v>Packaged Foods</v>
      </c>
    </row>
    <row r="181" spans="1:13" x14ac:dyDescent="0.35">
      <c r="A181" s="8">
        <v>45471</v>
      </c>
      <c r="B181" t="s">
        <v>30</v>
      </c>
      <c r="C181">
        <v>17</v>
      </c>
      <c r="D181" t="s">
        <v>10</v>
      </c>
      <c r="E181" t="s">
        <v>12</v>
      </c>
      <c r="F181">
        <f>VLOOKUP(B181,Catalogue!$A$1:$F$51,5,FALSE)</f>
        <v>124</v>
      </c>
      <c r="G181">
        <f>VLOOKUP(B181,Catalogue!$A$1:$F$51,6,FALSE)</f>
        <v>204.60000000000002</v>
      </c>
      <c r="H181">
        <f t="shared" si="8"/>
        <v>2108</v>
      </c>
      <c r="I181">
        <f t="shared" si="9"/>
        <v>3478.2000000000003</v>
      </c>
      <c r="J181">
        <f t="shared" si="10"/>
        <v>1370.2000000000003</v>
      </c>
      <c r="K181" t="str">
        <v>Top Ramen</v>
      </c>
      <c r="L181" t="str">
        <f t="shared" si="11"/>
        <v>Jun</v>
      </c>
      <c r="M181" t="str">
        <v>Packaged Foods</v>
      </c>
    </row>
    <row r="182" spans="1:13" x14ac:dyDescent="0.35">
      <c r="A182" s="8">
        <v>45472</v>
      </c>
      <c r="B182" t="s">
        <v>69</v>
      </c>
      <c r="C182">
        <v>11</v>
      </c>
      <c r="D182" t="s">
        <v>10</v>
      </c>
      <c r="E182" t="s">
        <v>11</v>
      </c>
      <c r="F182">
        <f>VLOOKUP(B182,Catalogue!$A$1:$F$51,5,FALSE)</f>
        <v>124</v>
      </c>
      <c r="G182">
        <f>VLOOKUP(B182,Catalogue!$A$1:$F$51,6,FALSE)</f>
        <v>167.4</v>
      </c>
      <c r="H182">
        <f t="shared" si="8"/>
        <v>1364</v>
      </c>
      <c r="I182">
        <f t="shared" si="9"/>
        <v>1841.4</v>
      </c>
      <c r="J182">
        <f t="shared" si="10"/>
        <v>477.40000000000009</v>
      </c>
      <c r="K182" t="str">
        <v>Surf Excel Detergent</v>
      </c>
      <c r="L182" t="str">
        <f t="shared" si="11"/>
        <v>Jun</v>
      </c>
      <c r="M182" t="str">
        <v>Household Cleaning</v>
      </c>
    </row>
    <row r="183" spans="1:13" x14ac:dyDescent="0.35">
      <c r="A183" s="8">
        <v>45473</v>
      </c>
      <c r="B183" t="s">
        <v>104</v>
      </c>
      <c r="C183">
        <v>11</v>
      </c>
      <c r="D183" t="s">
        <v>11</v>
      </c>
      <c r="E183" t="s">
        <v>12</v>
      </c>
      <c r="F183">
        <f>VLOOKUP(B183,Catalogue!$A$1:$F$51,5,FALSE)</f>
        <v>124</v>
      </c>
      <c r="G183">
        <f>VLOOKUP(B183,Catalogue!$A$1:$F$51,6,FALSE)</f>
        <v>163.68</v>
      </c>
      <c r="H183">
        <f t="shared" si="8"/>
        <v>1364</v>
      </c>
      <c r="I183">
        <f t="shared" si="9"/>
        <v>1800.48</v>
      </c>
      <c r="J183">
        <f t="shared" si="10"/>
        <v>436.48</v>
      </c>
      <c r="K183" t="str">
        <v>Vim Dishwash Bar</v>
      </c>
      <c r="L183" t="str">
        <f t="shared" si="11"/>
        <v>Jun</v>
      </c>
      <c r="M183" t="str">
        <v>Household Cleaning</v>
      </c>
    </row>
    <row r="184" spans="1:13" x14ac:dyDescent="0.35">
      <c r="A184" s="8">
        <v>45474</v>
      </c>
      <c r="B184" t="s">
        <v>14</v>
      </c>
      <c r="C184">
        <v>14</v>
      </c>
      <c r="D184" t="s">
        <v>13</v>
      </c>
      <c r="E184" t="s">
        <v>12</v>
      </c>
      <c r="F184">
        <f>VLOOKUP(B184,Catalogue!$A$1:$F$51,5,FALSE)</f>
        <v>98</v>
      </c>
      <c r="G184">
        <f>VLOOKUP(B184,Catalogue!$A$1:$F$51,6,FALSE)</f>
        <v>129.36000000000001</v>
      </c>
      <c r="H184">
        <f t="shared" si="8"/>
        <v>1372</v>
      </c>
      <c r="I184">
        <f t="shared" si="9"/>
        <v>1811.0400000000002</v>
      </c>
      <c r="J184">
        <f t="shared" si="10"/>
        <v>439.04000000000019</v>
      </c>
      <c r="K184" t="str">
        <v>Harpic Toilet Cleaner</v>
      </c>
      <c r="L184" t="str">
        <f t="shared" si="11"/>
        <v>Jul</v>
      </c>
      <c r="M184" t="str">
        <v>Household Cleaning</v>
      </c>
    </row>
    <row r="185" spans="1:13" x14ac:dyDescent="0.35">
      <c r="A185" s="8">
        <v>45475</v>
      </c>
      <c r="B185" t="s">
        <v>141</v>
      </c>
      <c r="C185">
        <v>1</v>
      </c>
      <c r="D185" t="s">
        <v>13</v>
      </c>
      <c r="E185" t="s">
        <v>11</v>
      </c>
      <c r="F185">
        <f>VLOOKUP(B185,Catalogue!$A$1:$F$51,5,FALSE)</f>
        <v>133</v>
      </c>
      <c r="G185">
        <f>VLOOKUP(B185,Catalogue!$A$1:$F$51,6,FALSE)</f>
        <v>151.62</v>
      </c>
      <c r="H185">
        <f t="shared" si="8"/>
        <v>133</v>
      </c>
      <c r="I185">
        <f t="shared" si="9"/>
        <v>151.62</v>
      </c>
      <c r="J185">
        <f t="shared" si="10"/>
        <v>18.620000000000005</v>
      </c>
      <c r="K185" t="str">
        <v>Lizol Floor Cleaner</v>
      </c>
      <c r="L185" t="str">
        <f t="shared" si="11"/>
        <v>Jul</v>
      </c>
      <c r="M185" t="str">
        <v>Household Cleaning</v>
      </c>
    </row>
    <row r="186" spans="1:13" x14ac:dyDescent="0.35">
      <c r="A186" s="8">
        <v>45476</v>
      </c>
      <c r="B186" t="s">
        <v>144</v>
      </c>
      <c r="C186">
        <v>17</v>
      </c>
      <c r="D186" t="s">
        <v>11</v>
      </c>
      <c r="E186" t="s">
        <v>12</v>
      </c>
      <c r="F186">
        <f>VLOOKUP(B186,Catalogue!$A$1:$F$51,5,FALSE)</f>
        <v>124</v>
      </c>
      <c r="G186">
        <f>VLOOKUP(B186,Catalogue!$A$1:$F$51,6,FALSE)</f>
        <v>140.12</v>
      </c>
      <c r="H186">
        <f t="shared" si="8"/>
        <v>2108</v>
      </c>
      <c r="I186">
        <f t="shared" si="9"/>
        <v>2382.04</v>
      </c>
      <c r="J186">
        <f t="shared" si="10"/>
        <v>274.03999999999996</v>
      </c>
      <c r="K186" t="str">
        <v>Domex Disinfectant</v>
      </c>
      <c r="L186" t="str">
        <f t="shared" si="11"/>
        <v>Jul</v>
      </c>
      <c r="M186" t="str">
        <v>Household Cleaning</v>
      </c>
    </row>
    <row r="187" spans="1:13" x14ac:dyDescent="0.35">
      <c r="A187" s="8">
        <v>45477</v>
      </c>
      <c r="B187" t="s">
        <v>147</v>
      </c>
      <c r="C187">
        <v>20</v>
      </c>
      <c r="D187" t="s">
        <v>10</v>
      </c>
      <c r="E187" t="s">
        <v>11</v>
      </c>
      <c r="F187">
        <f>VLOOKUP(B187,Catalogue!$A$1:$F$51,5,FALSE)</f>
        <v>10</v>
      </c>
      <c r="G187">
        <f>VLOOKUP(B187,Catalogue!$A$1:$F$51,6,FALSE)</f>
        <v>14.100000000000001</v>
      </c>
      <c r="H187">
        <f t="shared" si="8"/>
        <v>200</v>
      </c>
      <c r="I187">
        <f t="shared" si="9"/>
        <v>282</v>
      </c>
      <c r="J187">
        <f t="shared" si="10"/>
        <v>82</v>
      </c>
      <c r="K187" t="str">
        <v>Rin Bar</v>
      </c>
      <c r="L187" t="str">
        <f t="shared" si="11"/>
        <v>Jul</v>
      </c>
      <c r="M187" t="str">
        <v>Household Cleaning</v>
      </c>
    </row>
    <row r="188" spans="1:13" x14ac:dyDescent="0.35">
      <c r="A188" s="8">
        <v>45478</v>
      </c>
      <c r="B188" t="s">
        <v>49</v>
      </c>
      <c r="C188">
        <v>18</v>
      </c>
      <c r="D188" t="s">
        <v>10</v>
      </c>
      <c r="E188" t="s">
        <v>12</v>
      </c>
      <c r="F188">
        <f>VLOOKUP(B188,Catalogue!$A$1:$F$51,5,FALSE)</f>
        <v>12</v>
      </c>
      <c r="G188">
        <f>VLOOKUP(B188,Catalogue!$A$1:$F$51,6,FALSE)</f>
        <v>13.44</v>
      </c>
      <c r="H188">
        <f t="shared" si="8"/>
        <v>216</v>
      </c>
      <c r="I188">
        <f t="shared" si="9"/>
        <v>241.92</v>
      </c>
      <c r="J188">
        <f t="shared" si="10"/>
        <v>25.919999999999987</v>
      </c>
      <c r="K188" t="str">
        <v>Scotch-Brite Scrub Pad</v>
      </c>
      <c r="L188" t="str">
        <f t="shared" si="11"/>
        <v>Jul</v>
      </c>
      <c r="M188" t="str">
        <v>Household Cleaning</v>
      </c>
    </row>
    <row r="189" spans="1:13" x14ac:dyDescent="0.35">
      <c r="A189" s="8">
        <v>45479</v>
      </c>
      <c r="B189" t="s">
        <v>18</v>
      </c>
      <c r="C189">
        <v>16</v>
      </c>
      <c r="D189" t="s">
        <v>11</v>
      </c>
      <c r="E189" t="s">
        <v>11</v>
      </c>
      <c r="F189">
        <f>VLOOKUP(B189,Catalogue!$A$1:$F$51,5,FALSE)</f>
        <v>105</v>
      </c>
      <c r="G189">
        <f>VLOOKUP(B189,Catalogue!$A$1:$F$51,6,FALSE)</f>
        <v>117.6</v>
      </c>
      <c r="H189">
        <f t="shared" si="8"/>
        <v>1680</v>
      </c>
      <c r="I189">
        <f t="shared" si="9"/>
        <v>1881.6</v>
      </c>
      <c r="J189">
        <f t="shared" si="10"/>
        <v>201.59999999999991</v>
      </c>
      <c r="K189" t="str">
        <v>Pril Dishwash Liquid</v>
      </c>
      <c r="L189" t="str">
        <f t="shared" si="11"/>
        <v>Jul</v>
      </c>
      <c r="M189" t="str">
        <v>Household Cleaning</v>
      </c>
    </row>
    <row r="190" spans="1:13" x14ac:dyDescent="0.35">
      <c r="A190" s="8">
        <v>45480</v>
      </c>
      <c r="B190" t="s">
        <v>30</v>
      </c>
      <c r="C190">
        <v>5</v>
      </c>
      <c r="D190" t="s">
        <v>10</v>
      </c>
      <c r="E190" t="s">
        <v>12</v>
      </c>
      <c r="F190">
        <f>VLOOKUP(B190,Catalogue!$A$1:$F$51,5,FALSE)</f>
        <v>124</v>
      </c>
      <c r="G190">
        <f>VLOOKUP(B190,Catalogue!$A$1:$F$51,6,FALSE)</f>
        <v>204.60000000000002</v>
      </c>
      <c r="H190">
        <f t="shared" si="8"/>
        <v>620</v>
      </c>
      <c r="I190">
        <f t="shared" si="9"/>
        <v>1023.0000000000001</v>
      </c>
      <c r="J190">
        <f t="shared" si="10"/>
        <v>403.00000000000011</v>
      </c>
      <c r="K190" t="str">
        <v>Exo Dishwash Bar</v>
      </c>
      <c r="L190" t="str">
        <f t="shared" si="11"/>
        <v>Jul</v>
      </c>
      <c r="M190" t="str">
        <v>Household Cleaning</v>
      </c>
    </row>
    <row r="191" spans="1:13" x14ac:dyDescent="0.35">
      <c r="A191" s="8">
        <v>45481</v>
      </c>
      <c r="B191" t="s">
        <v>55</v>
      </c>
      <c r="C191">
        <v>19</v>
      </c>
      <c r="D191" t="s">
        <v>10</v>
      </c>
      <c r="E191" t="s">
        <v>12</v>
      </c>
      <c r="F191">
        <f>VLOOKUP(B191,Catalogue!$A$1:$F$51,5,FALSE)</f>
        <v>98</v>
      </c>
      <c r="G191">
        <f>VLOOKUP(B191,Catalogue!$A$1:$F$51,6,FALSE)</f>
        <v>110.74</v>
      </c>
      <c r="H191">
        <f t="shared" si="8"/>
        <v>1862</v>
      </c>
      <c r="I191">
        <f t="shared" si="9"/>
        <v>2104.06</v>
      </c>
      <c r="J191">
        <f t="shared" si="10"/>
        <v>242.05999999999995</v>
      </c>
      <c r="K191" t="str">
        <v>Odonil Room Freshener</v>
      </c>
      <c r="L191" t="str">
        <f t="shared" si="11"/>
        <v>Jul</v>
      </c>
      <c r="M191" t="str">
        <v>Household Cleaning</v>
      </c>
    </row>
    <row r="192" spans="1:13" x14ac:dyDescent="0.35">
      <c r="A192" s="8">
        <v>45482</v>
      </c>
      <c r="B192" t="s">
        <v>102</v>
      </c>
      <c r="C192">
        <v>15</v>
      </c>
      <c r="D192" t="s">
        <v>11</v>
      </c>
      <c r="E192" t="s">
        <v>11</v>
      </c>
      <c r="F192">
        <f>VLOOKUP(B192,Catalogue!$A$1:$F$51,5,FALSE)</f>
        <v>133</v>
      </c>
      <c r="G192">
        <f>VLOOKUP(B192,Catalogue!$A$1:$F$51,6,FALSE)</f>
        <v>194.18</v>
      </c>
      <c r="H192">
        <f t="shared" si="8"/>
        <v>1995</v>
      </c>
      <c r="I192">
        <f t="shared" si="9"/>
        <v>2912.7000000000003</v>
      </c>
      <c r="J192">
        <f t="shared" si="10"/>
        <v>917.70000000000027</v>
      </c>
      <c r="K192" t="str">
        <v>Whisper Sanitary Pads</v>
      </c>
      <c r="L192" t="str">
        <f t="shared" si="11"/>
        <v>Jul</v>
      </c>
      <c r="M192" t="str">
        <v>Paper &amp; Essentials</v>
      </c>
    </row>
    <row r="193" spans="1:13" x14ac:dyDescent="0.35">
      <c r="A193" s="8">
        <v>45483</v>
      </c>
      <c r="B193" t="s">
        <v>99</v>
      </c>
      <c r="C193">
        <v>12</v>
      </c>
      <c r="D193" t="s">
        <v>13</v>
      </c>
      <c r="E193" t="s">
        <v>12</v>
      </c>
      <c r="F193">
        <f>VLOOKUP(B193,Catalogue!$A$1:$F$51,5,FALSE)</f>
        <v>71</v>
      </c>
      <c r="G193">
        <f>VLOOKUP(B193,Catalogue!$A$1:$F$51,6,FALSE)</f>
        <v>95.85</v>
      </c>
      <c r="H193">
        <f t="shared" si="8"/>
        <v>852</v>
      </c>
      <c r="I193">
        <f t="shared" si="9"/>
        <v>1150.1999999999998</v>
      </c>
      <c r="J193">
        <f t="shared" si="10"/>
        <v>298.19999999999982</v>
      </c>
      <c r="K193" t="str">
        <v>Sofy Pantyliners</v>
      </c>
      <c r="L193" t="str">
        <f t="shared" si="11"/>
        <v>Jul</v>
      </c>
      <c r="M193" t="str">
        <v>Paper &amp; Essentials</v>
      </c>
    </row>
    <row r="194" spans="1:13" x14ac:dyDescent="0.35">
      <c r="A194" s="8">
        <v>45484</v>
      </c>
      <c r="B194" t="s">
        <v>64</v>
      </c>
      <c r="C194">
        <v>17</v>
      </c>
      <c r="D194" t="s">
        <v>13</v>
      </c>
      <c r="E194" t="s">
        <v>12</v>
      </c>
      <c r="F194">
        <f>VLOOKUP(B194,Catalogue!$A$1:$F$51,5,FALSE)</f>
        <v>71</v>
      </c>
      <c r="G194">
        <f>VLOOKUP(B194,Catalogue!$A$1:$F$51,6,FALSE)</f>
        <v>79.52</v>
      </c>
      <c r="H194">
        <f t="shared" si="8"/>
        <v>1207</v>
      </c>
      <c r="I194">
        <f t="shared" si="9"/>
        <v>1351.84</v>
      </c>
      <c r="J194">
        <f t="shared" si="10"/>
        <v>144.83999999999992</v>
      </c>
      <c r="K194" t="str">
        <v>Kleenex Tissue Box</v>
      </c>
      <c r="L194" t="str">
        <f t="shared" si="11"/>
        <v>Jul</v>
      </c>
      <c r="M194" t="str">
        <v>Paper &amp; Essentials</v>
      </c>
    </row>
    <row r="195" spans="1:13" x14ac:dyDescent="0.35">
      <c r="A195" s="8">
        <v>45485</v>
      </c>
      <c r="B195" t="s">
        <v>52</v>
      </c>
      <c r="C195">
        <v>13</v>
      </c>
      <c r="D195" t="s">
        <v>11</v>
      </c>
      <c r="E195" t="s">
        <v>11</v>
      </c>
      <c r="F195">
        <f>VLOOKUP(B195,Catalogue!$A$1:$F$51,5,FALSE)</f>
        <v>63</v>
      </c>
      <c r="G195">
        <f>VLOOKUP(B195,Catalogue!$A$1:$F$51,6,FALSE)</f>
        <v>71.819999999999993</v>
      </c>
      <c r="H195">
        <f t="shared" ref="H195:H258" si="12">C195*F195</f>
        <v>819</v>
      </c>
      <c r="I195">
        <f t="shared" ref="I195:I258" si="13">C195*G195</f>
        <v>933.65999999999985</v>
      </c>
      <c r="J195">
        <f t="shared" ref="J195:J258" si="14">I195-H195</f>
        <v>114.65999999999985</v>
      </c>
      <c r="K195" t="str">
        <v>Origami Kitchen Towels</v>
      </c>
      <c r="L195" t="str">
        <f t="shared" ref="L195:L258" si="15">TEXT(A195,"mmm")</f>
        <v>Jul</v>
      </c>
      <c r="M195" t="str">
        <v>Paper &amp; Essentials</v>
      </c>
    </row>
    <row r="196" spans="1:13" x14ac:dyDescent="0.35">
      <c r="A196" s="8">
        <v>45486</v>
      </c>
      <c r="B196" t="s">
        <v>111</v>
      </c>
      <c r="C196">
        <v>13</v>
      </c>
      <c r="D196" t="s">
        <v>10</v>
      </c>
      <c r="E196" t="s">
        <v>12</v>
      </c>
      <c r="F196">
        <f>VLOOKUP(B196,Catalogue!$A$1:$F$51,5,FALSE)</f>
        <v>16</v>
      </c>
      <c r="G196">
        <f>VLOOKUP(B196,Catalogue!$A$1:$F$51,6,FALSE)</f>
        <v>18.240000000000002</v>
      </c>
      <c r="H196">
        <f t="shared" si="12"/>
        <v>208</v>
      </c>
      <c r="I196">
        <f t="shared" si="13"/>
        <v>237.12000000000003</v>
      </c>
      <c r="J196">
        <f t="shared" si="14"/>
        <v>29.120000000000033</v>
      </c>
      <c r="K196" t="str">
        <v>Stayfree Ultra</v>
      </c>
      <c r="L196" t="str">
        <f t="shared" si="15"/>
        <v>Jul</v>
      </c>
      <c r="M196" t="str">
        <v>Paper &amp; Essentials</v>
      </c>
    </row>
    <row r="197" spans="1:13" x14ac:dyDescent="0.35">
      <c r="A197" s="8">
        <v>45487</v>
      </c>
      <c r="B197" t="s">
        <v>104</v>
      </c>
      <c r="C197">
        <v>18</v>
      </c>
      <c r="D197" t="s">
        <v>10</v>
      </c>
      <c r="E197" t="s">
        <v>11</v>
      </c>
      <c r="F197">
        <f>VLOOKUP(B197,Catalogue!$A$1:$F$51,5,FALSE)</f>
        <v>124</v>
      </c>
      <c r="G197">
        <f>VLOOKUP(B197,Catalogue!$A$1:$F$51,6,FALSE)</f>
        <v>163.68</v>
      </c>
      <c r="H197">
        <f t="shared" si="12"/>
        <v>2232</v>
      </c>
      <c r="I197">
        <f t="shared" si="13"/>
        <v>2946.2400000000002</v>
      </c>
      <c r="J197">
        <f t="shared" si="14"/>
        <v>714.24000000000024</v>
      </c>
      <c r="K197" t="str">
        <v>Scott Toilet Paper</v>
      </c>
      <c r="L197" t="str">
        <f t="shared" si="15"/>
        <v>Jul</v>
      </c>
      <c r="M197" t="str">
        <v>Paper &amp; Essentials</v>
      </c>
    </row>
    <row r="198" spans="1:13" x14ac:dyDescent="0.35">
      <c r="A198" s="8">
        <v>45488</v>
      </c>
      <c r="B198" t="s">
        <v>33</v>
      </c>
      <c r="C198">
        <v>5</v>
      </c>
      <c r="D198" t="s">
        <v>11</v>
      </c>
      <c r="E198" t="s">
        <v>12</v>
      </c>
      <c r="F198">
        <f>VLOOKUP(B198,Catalogue!$A$1:$F$51,5,FALSE)</f>
        <v>10</v>
      </c>
      <c r="G198">
        <f>VLOOKUP(B198,Catalogue!$A$1:$F$51,6,FALSE)</f>
        <v>11.2</v>
      </c>
      <c r="H198">
        <f t="shared" si="12"/>
        <v>50</v>
      </c>
      <c r="I198">
        <f t="shared" si="13"/>
        <v>56</v>
      </c>
      <c r="J198">
        <f t="shared" si="14"/>
        <v>6</v>
      </c>
      <c r="K198" t="str">
        <v>Bella Napkins</v>
      </c>
      <c r="L198" t="str">
        <f t="shared" si="15"/>
        <v>Jul</v>
      </c>
      <c r="M198" t="str">
        <v>Paper &amp; Essentials</v>
      </c>
    </row>
    <row r="199" spans="1:13" x14ac:dyDescent="0.35">
      <c r="A199" s="8">
        <v>45489</v>
      </c>
      <c r="B199" t="s">
        <v>69</v>
      </c>
      <c r="C199">
        <v>10</v>
      </c>
      <c r="D199" t="s">
        <v>10</v>
      </c>
      <c r="E199" t="s">
        <v>11</v>
      </c>
      <c r="F199">
        <f>VLOOKUP(B199,Catalogue!$A$1:$F$51,5,FALSE)</f>
        <v>124</v>
      </c>
      <c r="G199">
        <f>VLOOKUP(B199,Catalogue!$A$1:$F$51,6,FALSE)</f>
        <v>167.4</v>
      </c>
      <c r="H199">
        <f t="shared" si="12"/>
        <v>1240</v>
      </c>
      <c r="I199">
        <f t="shared" si="13"/>
        <v>1674</v>
      </c>
      <c r="J199">
        <f t="shared" si="14"/>
        <v>434</v>
      </c>
      <c r="K199" t="str">
        <v>Everteen Wipes</v>
      </c>
      <c r="L199" t="str">
        <f t="shared" si="15"/>
        <v>Jul</v>
      </c>
      <c r="M199" t="str">
        <v>Paper &amp; Essentials</v>
      </c>
    </row>
    <row r="200" spans="1:13" x14ac:dyDescent="0.35">
      <c r="A200" s="8">
        <v>45490</v>
      </c>
      <c r="B200" t="s">
        <v>87</v>
      </c>
      <c r="C200">
        <v>17</v>
      </c>
      <c r="D200" t="s">
        <v>10</v>
      </c>
      <c r="E200" t="s">
        <v>12</v>
      </c>
      <c r="F200">
        <f>VLOOKUP(B200,Catalogue!$A$1:$F$51,5,FALSE)</f>
        <v>12</v>
      </c>
      <c r="G200">
        <f>VLOOKUP(B200,Catalogue!$A$1:$F$51,6,FALSE)</f>
        <v>16.920000000000002</v>
      </c>
      <c r="H200">
        <f t="shared" si="12"/>
        <v>204</v>
      </c>
      <c r="I200">
        <f t="shared" si="13"/>
        <v>287.64000000000004</v>
      </c>
      <c r="J200">
        <f t="shared" si="14"/>
        <v>83.640000000000043</v>
      </c>
      <c r="K200" t="str">
        <v>Premier Facial Tissues</v>
      </c>
      <c r="L200" t="str">
        <f t="shared" si="15"/>
        <v>Jul</v>
      </c>
      <c r="M200" t="str">
        <v>Paper &amp; Essentials</v>
      </c>
    </row>
    <row r="201" spans="1:13" x14ac:dyDescent="0.35">
      <c r="A201" s="8">
        <v>45491</v>
      </c>
      <c r="B201" t="s">
        <v>61</v>
      </c>
      <c r="C201">
        <v>5</v>
      </c>
      <c r="D201" t="s">
        <v>11</v>
      </c>
      <c r="E201" t="s">
        <v>12</v>
      </c>
      <c r="F201">
        <f>VLOOKUP(B201,Catalogue!$A$1:$F$51,5,FALSE)</f>
        <v>44</v>
      </c>
      <c r="G201">
        <f>VLOOKUP(B201,Catalogue!$A$1:$F$51,6,FALSE)</f>
        <v>72.599999999999994</v>
      </c>
      <c r="H201">
        <f t="shared" si="12"/>
        <v>220</v>
      </c>
      <c r="I201">
        <f t="shared" si="13"/>
        <v>363</v>
      </c>
      <c r="J201">
        <f t="shared" si="14"/>
        <v>143</v>
      </c>
      <c r="K201" t="str">
        <v>Wet Wipes - Himalaya</v>
      </c>
      <c r="L201" t="str">
        <f t="shared" si="15"/>
        <v>Jul</v>
      </c>
      <c r="M201" t="str">
        <v>Paper &amp; Essentials</v>
      </c>
    </row>
    <row r="202" spans="1:13" x14ac:dyDescent="0.35">
      <c r="A202" s="8">
        <v>45492</v>
      </c>
      <c r="B202" t="s">
        <v>162</v>
      </c>
      <c r="C202">
        <v>13</v>
      </c>
      <c r="D202" t="s">
        <v>13</v>
      </c>
      <c r="E202" t="s">
        <v>11</v>
      </c>
      <c r="F202">
        <f>VLOOKUP(B202,Catalogue!$A$1:$F$51,5,FALSE)</f>
        <v>12</v>
      </c>
      <c r="G202">
        <f>VLOOKUP(B202,Catalogue!$A$1:$F$51,6,FALSE)</f>
        <v>17.52</v>
      </c>
      <c r="H202">
        <f t="shared" si="12"/>
        <v>156</v>
      </c>
      <c r="I202">
        <f t="shared" si="13"/>
        <v>227.76</v>
      </c>
      <c r="J202">
        <f t="shared" si="14"/>
        <v>71.759999999999991</v>
      </c>
      <c r="K202" t="str" cm="1">
        <f t="array" ref="K202:K251">Catalogue!B2:B51</f>
        <v>Dove Soap</v>
      </c>
      <c r="L202" t="str">
        <f t="shared" si="15"/>
        <v>Jul</v>
      </c>
      <c r="M202" t="str" cm="1">
        <f t="array" ref="M202:M251">Catalogue!C2:C51</f>
        <v>Personal Care</v>
      </c>
    </row>
    <row r="203" spans="1:13" x14ac:dyDescent="0.35">
      <c r="A203" s="8">
        <v>45493</v>
      </c>
      <c r="B203" t="s">
        <v>18</v>
      </c>
      <c r="C203">
        <v>17</v>
      </c>
      <c r="D203" t="s">
        <v>13</v>
      </c>
      <c r="E203" t="s">
        <v>12</v>
      </c>
      <c r="F203">
        <f>VLOOKUP(B203,Catalogue!$A$1:$F$51,5,FALSE)</f>
        <v>105</v>
      </c>
      <c r="G203">
        <f>VLOOKUP(B203,Catalogue!$A$1:$F$51,6,FALSE)</f>
        <v>117.6</v>
      </c>
      <c r="H203">
        <f t="shared" si="12"/>
        <v>1785</v>
      </c>
      <c r="I203">
        <f t="shared" si="13"/>
        <v>1999.1999999999998</v>
      </c>
      <c r="J203">
        <f t="shared" si="14"/>
        <v>214.19999999999982</v>
      </c>
      <c r="K203" t="str">
        <v>Colgate Toothpaste</v>
      </c>
      <c r="L203" t="str">
        <f t="shared" si="15"/>
        <v>Jul</v>
      </c>
      <c r="M203" t="str">
        <v>Personal Care</v>
      </c>
    </row>
    <row r="204" spans="1:13" x14ac:dyDescent="0.35">
      <c r="A204" s="8">
        <v>45494</v>
      </c>
      <c r="B204" t="s">
        <v>61</v>
      </c>
      <c r="C204">
        <v>20</v>
      </c>
      <c r="D204" t="s">
        <v>11</v>
      </c>
      <c r="E204" t="s">
        <v>12</v>
      </c>
      <c r="F204">
        <f>VLOOKUP(B204,Catalogue!$A$1:$F$51,5,FALSE)</f>
        <v>44</v>
      </c>
      <c r="G204">
        <f>VLOOKUP(B204,Catalogue!$A$1:$F$51,6,FALSE)</f>
        <v>72.599999999999994</v>
      </c>
      <c r="H204">
        <f t="shared" si="12"/>
        <v>880</v>
      </c>
      <c r="I204">
        <f t="shared" si="13"/>
        <v>1452</v>
      </c>
      <c r="J204">
        <f t="shared" si="14"/>
        <v>572</v>
      </c>
      <c r="K204" t="str">
        <v>Lifebuoy Handwash</v>
      </c>
      <c r="L204" t="str">
        <f t="shared" si="15"/>
        <v>Jul</v>
      </c>
      <c r="M204" t="str">
        <v>Personal Care</v>
      </c>
    </row>
    <row r="205" spans="1:13" x14ac:dyDescent="0.35">
      <c r="A205" s="8">
        <v>45495</v>
      </c>
      <c r="B205" t="s">
        <v>78</v>
      </c>
      <c r="C205">
        <v>12</v>
      </c>
      <c r="D205" t="s">
        <v>10</v>
      </c>
      <c r="E205" t="s">
        <v>11</v>
      </c>
      <c r="F205">
        <f>VLOOKUP(B205,Catalogue!$A$1:$F$51,5,FALSE)</f>
        <v>10</v>
      </c>
      <c r="G205">
        <f>VLOOKUP(B205,Catalogue!$A$1:$F$51,6,FALSE)</f>
        <v>11.2</v>
      </c>
      <c r="H205">
        <f t="shared" si="12"/>
        <v>120</v>
      </c>
      <c r="I205">
        <f t="shared" si="13"/>
        <v>134.39999999999998</v>
      </c>
      <c r="J205">
        <f t="shared" si="14"/>
        <v>14.399999999999977</v>
      </c>
      <c r="K205" t="str">
        <v>Nivea Body Lotion</v>
      </c>
      <c r="L205" t="str">
        <f t="shared" si="15"/>
        <v>Jul</v>
      </c>
      <c r="M205" t="str">
        <v>Personal Care</v>
      </c>
    </row>
    <row r="206" spans="1:13" x14ac:dyDescent="0.35">
      <c r="A206" s="8">
        <v>45496</v>
      </c>
      <c r="B206" t="s">
        <v>69</v>
      </c>
      <c r="C206">
        <v>12</v>
      </c>
      <c r="D206" t="s">
        <v>10</v>
      </c>
      <c r="E206" t="s">
        <v>12</v>
      </c>
      <c r="F206">
        <f>VLOOKUP(B206,Catalogue!$A$1:$F$51,5,FALSE)</f>
        <v>124</v>
      </c>
      <c r="G206">
        <f>VLOOKUP(B206,Catalogue!$A$1:$F$51,6,FALSE)</f>
        <v>167.4</v>
      </c>
      <c r="H206">
        <f t="shared" si="12"/>
        <v>1488</v>
      </c>
      <c r="I206">
        <f t="shared" si="13"/>
        <v>2008.8000000000002</v>
      </c>
      <c r="J206">
        <f t="shared" si="14"/>
        <v>520.80000000000018</v>
      </c>
      <c r="K206" t="str">
        <v>Gillette Shaving Foam</v>
      </c>
      <c r="L206" t="str">
        <f t="shared" si="15"/>
        <v>Jul</v>
      </c>
      <c r="M206" t="str">
        <v>Personal Care</v>
      </c>
    </row>
    <row r="207" spans="1:13" x14ac:dyDescent="0.35">
      <c r="A207" s="8">
        <v>45497</v>
      </c>
      <c r="B207" t="s">
        <v>61</v>
      </c>
      <c r="C207">
        <v>12</v>
      </c>
      <c r="D207" t="s">
        <v>11</v>
      </c>
      <c r="E207" t="s">
        <v>11</v>
      </c>
      <c r="F207">
        <f>VLOOKUP(B207,Catalogue!$A$1:$F$51,5,FALSE)</f>
        <v>44</v>
      </c>
      <c r="G207">
        <f>VLOOKUP(B207,Catalogue!$A$1:$F$51,6,FALSE)</f>
        <v>72.599999999999994</v>
      </c>
      <c r="H207">
        <f t="shared" si="12"/>
        <v>528</v>
      </c>
      <c r="I207">
        <f t="shared" si="13"/>
        <v>871.19999999999993</v>
      </c>
      <c r="J207">
        <f t="shared" si="14"/>
        <v>343.19999999999993</v>
      </c>
      <c r="K207" t="str">
        <v>Pantene Shampoo</v>
      </c>
      <c r="L207" t="str">
        <f t="shared" si="15"/>
        <v>Jul</v>
      </c>
      <c r="M207" t="str">
        <v>Personal Care</v>
      </c>
    </row>
    <row r="208" spans="1:13" x14ac:dyDescent="0.35">
      <c r="A208" s="8">
        <v>45498</v>
      </c>
      <c r="B208" t="s">
        <v>90</v>
      </c>
      <c r="C208">
        <v>14</v>
      </c>
      <c r="D208" t="s">
        <v>10</v>
      </c>
      <c r="E208" t="s">
        <v>12</v>
      </c>
      <c r="F208">
        <f>VLOOKUP(B208,Catalogue!$A$1:$F$51,5,FALSE)</f>
        <v>98</v>
      </c>
      <c r="G208">
        <f>VLOOKUP(B208,Catalogue!$A$1:$F$51,6,FALSE)</f>
        <v>161.69999999999999</v>
      </c>
      <c r="H208">
        <f t="shared" si="12"/>
        <v>1372</v>
      </c>
      <c r="I208">
        <f t="shared" si="13"/>
        <v>2263.7999999999997</v>
      </c>
      <c r="J208">
        <f t="shared" si="14"/>
        <v>891.79999999999973</v>
      </c>
      <c r="K208" t="str">
        <v>Dettol Antiseptic Liquid</v>
      </c>
      <c r="L208" t="str">
        <f t="shared" si="15"/>
        <v>Jul</v>
      </c>
      <c r="M208" t="str">
        <v>Personal Care</v>
      </c>
    </row>
    <row r="209" spans="1:13" x14ac:dyDescent="0.35">
      <c r="A209" s="8">
        <v>45499</v>
      </c>
      <c r="B209" t="s">
        <v>36</v>
      </c>
      <c r="C209">
        <v>10</v>
      </c>
      <c r="D209" t="s">
        <v>10</v>
      </c>
      <c r="E209" t="s">
        <v>11</v>
      </c>
      <c r="F209">
        <f>VLOOKUP(B209,Catalogue!$A$1:$F$51,5,FALSE)</f>
        <v>16</v>
      </c>
      <c r="G209">
        <f>VLOOKUP(B209,Catalogue!$A$1:$F$51,6,FALSE)</f>
        <v>17.600000000000001</v>
      </c>
      <c r="H209">
        <f t="shared" si="12"/>
        <v>160</v>
      </c>
      <c r="I209">
        <f t="shared" si="13"/>
        <v>176</v>
      </c>
      <c r="J209">
        <f t="shared" si="14"/>
        <v>16</v>
      </c>
      <c r="K209" t="str">
        <v>Himalaya Face Wash</v>
      </c>
      <c r="L209" t="str">
        <f t="shared" si="15"/>
        <v>Jul</v>
      </c>
      <c r="M209" t="str">
        <v>Personal Care</v>
      </c>
    </row>
    <row r="210" spans="1:13" x14ac:dyDescent="0.35">
      <c r="A210" s="8">
        <v>45500</v>
      </c>
      <c r="B210" t="s">
        <v>147</v>
      </c>
      <c r="C210">
        <v>9</v>
      </c>
      <c r="D210" t="s">
        <v>11</v>
      </c>
      <c r="E210" t="s">
        <v>12</v>
      </c>
      <c r="F210">
        <f>VLOOKUP(B210,Catalogue!$A$1:$F$51,5,FALSE)</f>
        <v>10</v>
      </c>
      <c r="G210">
        <f>VLOOKUP(B210,Catalogue!$A$1:$F$51,6,FALSE)</f>
        <v>14.100000000000001</v>
      </c>
      <c r="H210">
        <f t="shared" si="12"/>
        <v>90</v>
      </c>
      <c r="I210">
        <f t="shared" si="13"/>
        <v>126.9</v>
      </c>
      <c r="J210">
        <f t="shared" si="14"/>
        <v>36.900000000000006</v>
      </c>
      <c r="K210" t="str">
        <v>Vaseline Lip Care</v>
      </c>
      <c r="L210" t="str">
        <f t="shared" si="15"/>
        <v>Jul</v>
      </c>
      <c r="M210" t="str">
        <v>Personal Care</v>
      </c>
    </row>
    <row r="211" spans="1:13" x14ac:dyDescent="0.35">
      <c r="A211" s="8">
        <v>45501</v>
      </c>
      <c r="B211" t="s">
        <v>49</v>
      </c>
      <c r="C211">
        <v>9</v>
      </c>
      <c r="D211" t="s">
        <v>13</v>
      </c>
      <c r="E211" t="s">
        <v>12</v>
      </c>
      <c r="F211">
        <f>VLOOKUP(B211,Catalogue!$A$1:$F$51,5,FALSE)</f>
        <v>12</v>
      </c>
      <c r="G211">
        <f>VLOOKUP(B211,Catalogue!$A$1:$F$51,6,FALSE)</f>
        <v>13.44</v>
      </c>
      <c r="H211">
        <f t="shared" si="12"/>
        <v>108</v>
      </c>
      <c r="I211">
        <f t="shared" si="13"/>
        <v>120.96</v>
      </c>
      <c r="J211">
        <f t="shared" si="14"/>
        <v>12.959999999999994</v>
      </c>
      <c r="K211" t="str">
        <v>Johnson’s Baby Powder</v>
      </c>
      <c r="L211" t="str">
        <f t="shared" si="15"/>
        <v>Jul</v>
      </c>
      <c r="M211" t="str">
        <v>Personal Care</v>
      </c>
    </row>
    <row r="212" spans="1:13" x14ac:dyDescent="0.35">
      <c r="A212" s="8">
        <v>45502</v>
      </c>
      <c r="B212" t="s">
        <v>156</v>
      </c>
      <c r="C212">
        <v>1</v>
      </c>
      <c r="D212" t="s">
        <v>13</v>
      </c>
      <c r="E212" t="s">
        <v>11</v>
      </c>
      <c r="F212">
        <f>VLOOKUP(B212,Catalogue!$A$1:$F$51,5,FALSE)</f>
        <v>123</v>
      </c>
      <c r="G212">
        <f>VLOOKUP(B212,Catalogue!$A$1:$F$51,6,FALSE)</f>
        <v>135.30000000000001</v>
      </c>
      <c r="H212">
        <f t="shared" si="12"/>
        <v>123</v>
      </c>
      <c r="I212">
        <f t="shared" si="13"/>
        <v>135.30000000000001</v>
      </c>
      <c r="J212">
        <f t="shared" si="14"/>
        <v>12.300000000000011</v>
      </c>
      <c r="K212" t="str">
        <v>Coca-Cola Can</v>
      </c>
      <c r="L212" t="str">
        <f t="shared" si="15"/>
        <v>Jul</v>
      </c>
      <c r="M212" t="str">
        <v>Beverages</v>
      </c>
    </row>
    <row r="213" spans="1:13" x14ac:dyDescent="0.35">
      <c r="A213" s="8">
        <v>45503</v>
      </c>
      <c r="B213" t="s">
        <v>102</v>
      </c>
      <c r="C213">
        <v>4</v>
      </c>
      <c r="D213" t="s">
        <v>11</v>
      </c>
      <c r="E213" t="s">
        <v>12</v>
      </c>
      <c r="F213">
        <f>VLOOKUP(B213,Catalogue!$A$1:$F$51,5,FALSE)</f>
        <v>133</v>
      </c>
      <c r="G213">
        <f>VLOOKUP(B213,Catalogue!$A$1:$F$51,6,FALSE)</f>
        <v>194.18</v>
      </c>
      <c r="H213">
        <f t="shared" si="12"/>
        <v>532</v>
      </c>
      <c r="I213">
        <f t="shared" si="13"/>
        <v>776.72</v>
      </c>
      <c r="J213">
        <f t="shared" si="14"/>
        <v>244.72000000000003</v>
      </c>
      <c r="K213" t="str">
        <v>Pepsi Bottle</v>
      </c>
      <c r="L213" t="str">
        <f t="shared" si="15"/>
        <v>Jul</v>
      </c>
      <c r="M213" t="str">
        <v>Beverages</v>
      </c>
    </row>
    <row r="214" spans="1:13" x14ac:dyDescent="0.35">
      <c r="A214" s="8">
        <v>45504</v>
      </c>
      <c r="B214" t="s">
        <v>21</v>
      </c>
      <c r="C214">
        <v>13</v>
      </c>
      <c r="D214" t="s">
        <v>10</v>
      </c>
      <c r="E214" t="s">
        <v>12</v>
      </c>
      <c r="F214">
        <f>VLOOKUP(B214,Catalogue!$A$1:$F$51,5,FALSE)</f>
        <v>44</v>
      </c>
      <c r="G214">
        <f>VLOOKUP(B214,Catalogue!$A$1:$F$51,6,FALSE)</f>
        <v>50.16</v>
      </c>
      <c r="H214">
        <f t="shared" si="12"/>
        <v>572</v>
      </c>
      <c r="I214">
        <f t="shared" si="13"/>
        <v>652.07999999999993</v>
      </c>
      <c r="J214">
        <f t="shared" si="14"/>
        <v>80.079999999999927</v>
      </c>
      <c r="K214" t="str">
        <v>Red Bull</v>
      </c>
      <c r="L214" t="str">
        <f t="shared" si="15"/>
        <v>Jul</v>
      </c>
      <c r="M214" t="str">
        <v>Beverages</v>
      </c>
    </row>
    <row r="215" spans="1:13" x14ac:dyDescent="0.35">
      <c r="A215" s="8">
        <v>45505</v>
      </c>
      <c r="B215" t="s">
        <v>138</v>
      </c>
      <c r="C215">
        <v>7</v>
      </c>
      <c r="D215" t="s">
        <v>10</v>
      </c>
      <c r="E215" t="s">
        <v>11</v>
      </c>
      <c r="F215">
        <f>VLOOKUP(B215,Catalogue!$A$1:$F$51,5,FALSE)</f>
        <v>71</v>
      </c>
      <c r="G215">
        <f>VLOOKUP(B215,Catalogue!$A$1:$F$51,6,FALSE)</f>
        <v>79.52</v>
      </c>
      <c r="H215">
        <f t="shared" si="12"/>
        <v>497</v>
      </c>
      <c r="I215">
        <f t="shared" si="13"/>
        <v>556.64</v>
      </c>
      <c r="J215">
        <f t="shared" si="14"/>
        <v>59.639999999999986</v>
      </c>
      <c r="K215" t="str">
        <v>Tropicana Orange Juice</v>
      </c>
      <c r="L215" t="str">
        <f t="shared" si="15"/>
        <v>Aug</v>
      </c>
      <c r="M215" t="str">
        <v>Beverages</v>
      </c>
    </row>
    <row r="216" spans="1:13" x14ac:dyDescent="0.35">
      <c r="A216" s="8">
        <v>45506</v>
      </c>
      <c r="B216" t="s">
        <v>84</v>
      </c>
      <c r="C216">
        <v>6</v>
      </c>
      <c r="D216" t="s">
        <v>11</v>
      </c>
      <c r="E216" t="s">
        <v>12</v>
      </c>
      <c r="F216">
        <f>VLOOKUP(B216,Catalogue!$A$1:$F$51,5,FALSE)</f>
        <v>136</v>
      </c>
      <c r="G216">
        <f>VLOOKUP(B216,Catalogue!$A$1:$F$51,6,FALSE)</f>
        <v>153.68</v>
      </c>
      <c r="H216">
        <f t="shared" si="12"/>
        <v>816</v>
      </c>
      <c r="I216">
        <f t="shared" si="13"/>
        <v>922.08</v>
      </c>
      <c r="J216">
        <f t="shared" si="14"/>
        <v>106.08000000000004</v>
      </c>
      <c r="K216" t="str">
        <v>Minute Maid Pulpy</v>
      </c>
      <c r="L216" t="str">
        <f t="shared" si="15"/>
        <v>Aug</v>
      </c>
      <c r="M216" t="str">
        <v>Beverages</v>
      </c>
    </row>
    <row r="217" spans="1:13" x14ac:dyDescent="0.35">
      <c r="A217" s="8">
        <v>45507</v>
      </c>
      <c r="B217" t="s">
        <v>131</v>
      </c>
      <c r="C217">
        <v>14</v>
      </c>
      <c r="D217" t="s">
        <v>10</v>
      </c>
      <c r="E217" t="s">
        <v>11</v>
      </c>
      <c r="F217">
        <f>VLOOKUP(B217,Catalogue!$A$1:$F$51,5,FALSE)</f>
        <v>105</v>
      </c>
      <c r="G217">
        <f>VLOOKUP(B217,Catalogue!$A$1:$F$51,6,FALSE)</f>
        <v>153.30000000000001</v>
      </c>
      <c r="H217">
        <f t="shared" si="12"/>
        <v>1470</v>
      </c>
      <c r="I217">
        <f t="shared" si="13"/>
        <v>2146.2000000000003</v>
      </c>
      <c r="J217">
        <f t="shared" si="14"/>
        <v>676.20000000000027</v>
      </c>
      <c r="K217" t="str">
        <v>Frooti Mango Drink</v>
      </c>
      <c r="L217" t="str">
        <f t="shared" si="15"/>
        <v>Aug</v>
      </c>
      <c r="M217" t="str">
        <v>Beverages</v>
      </c>
    </row>
    <row r="218" spans="1:13" x14ac:dyDescent="0.35">
      <c r="A218" s="8">
        <v>45508</v>
      </c>
      <c r="B218" t="s">
        <v>49</v>
      </c>
      <c r="C218">
        <v>9</v>
      </c>
      <c r="D218" t="s">
        <v>10</v>
      </c>
      <c r="E218" t="s">
        <v>12</v>
      </c>
      <c r="F218">
        <f>VLOOKUP(B218,Catalogue!$A$1:$F$51,5,FALSE)</f>
        <v>12</v>
      </c>
      <c r="G218">
        <f>VLOOKUP(B218,Catalogue!$A$1:$F$51,6,FALSE)</f>
        <v>13.44</v>
      </c>
      <c r="H218">
        <f t="shared" si="12"/>
        <v>108</v>
      </c>
      <c r="I218">
        <f t="shared" si="13"/>
        <v>120.96</v>
      </c>
      <c r="J218">
        <f t="shared" si="14"/>
        <v>12.959999999999994</v>
      </c>
      <c r="K218" t="str">
        <v>Nestlé Iced Tea</v>
      </c>
      <c r="L218" t="str">
        <f t="shared" si="15"/>
        <v>Aug</v>
      </c>
      <c r="M218" t="str">
        <v>Beverages</v>
      </c>
    </row>
    <row r="219" spans="1:13" x14ac:dyDescent="0.35">
      <c r="A219" s="8">
        <v>45509</v>
      </c>
      <c r="B219" t="s">
        <v>33</v>
      </c>
      <c r="C219">
        <v>10</v>
      </c>
      <c r="D219" t="s">
        <v>11</v>
      </c>
      <c r="E219" t="s">
        <v>11</v>
      </c>
      <c r="F219">
        <f>VLOOKUP(B219,Catalogue!$A$1:$F$51,5,FALSE)</f>
        <v>10</v>
      </c>
      <c r="G219">
        <f>VLOOKUP(B219,Catalogue!$A$1:$F$51,6,FALSE)</f>
        <v>11.2</v>
      </c>
      <c r="H219">
        <f t="shared" si="12"/>
        <v>100</v>
      </c>
      <c r="I219">
        <f t="shared" si="13"/>
        <v>112</v>
      </c>
      <c r="J219">
        <f t="shared" si="14"/>
        <v>12</v>
      </c>
      <c r="K219" t="str">
        <v>Real Mixed Fruit Juice</v>
      </c>
      <c r="L219" t="str">
        <f t="shared" si="15"/>
        <v>Aug</v>
      </c>
      <c r="M219" t="str">
        <v>Beverages</v>
      </c>
    </row>
    <row r="220" spans="1:13" x14ac:dyDescent="0.35">
      <c r="A220" s="8">
        <v>45510</v>
      </c>
      <c r="B220" t="s">
        <v>45</v>
      </c>
      <c r="C220">
        <v>8</v>
      </c>
      <c r="D220" t="s">
        <v>13</v>
      </c>
      <c r="E220" t="s">
        <v>12</v>
      </c>
      <c r="F220">
        <f>VLOOKUP(B220,Catalogue!$A$1:$F$51,5,FALSE)</f>
        <v>136</v>
      </c>
      <c r="G220">
        <f>VLOOKUP(B220,Catalogue!$A$1:$F$51,6,FALSE)</f>
        <v>179.52</v>
      </c>
      <c r="H220">
        <f t="shared" si="12"/>
        <v>1088</v>
      </c>
      <c r="I220">
        <f t="shared" si="13"/>
        <v>1436.16</v>
      </c>
      <c r="J220">
        <f t="shared" si="14"/>
        <v>348.16000000000008</v>
      </c>
      <c r="K220" t="str">
        <v>Amul Kool Flavored Milk</v>
      </c>
      <c r="L220" t="str">
        <f t="shared" si="15"/>
        <v>Aug</v>
      </c>
      <c r="M220" t="str">
        <v>Beverages</v>
      </c>
    </row>
    <row r="221" spans="1:13" x14ac:dyDescent="0.35">
      <c r="A221" s="8">
        <v>45511</v>
      </c>
      <c r="B221" t="s">
        <v>78</v>
      </c>
      <c r="C221">
        <v>20</v>
      </c>
      <c r="D221" t="s">
        <v>13</v>
      </c>
      <c r="E221" t="s">
        <v>12</v>
      </c>
      <c r="F221">
        <f>VLOOKUP(B221,Catalogue!$A$1:$F$51,5,FALSE)</f>
        <v>10</v>
      </c>
      <c r="G221">
        <f>VLOOKUP(B221,Catalogue!$A$1:$F$51,6,FALSE)</f>
        <v>11.2</v>
      </c>
      <c r="H221">
        <f t="shared" si="12"/>
        <v>200</v>
      </c>
      <c r="I221">
        <f t="shared" si="13"/>
        <v>224</v>
      </c>
      <c r="J221">
        <f t="shared" si="14"/>
        <v>24</v>
      </c>
      <c r="K221" t="str">
        <v>Paper Boat Aam Panna</v>
      </c>
      <c r="L221" t="str">
        <f t="shared" si="15"/>
        <v>Aug</v>
      </c>
      <c r="M221" t="str">
        <v>Beverages</v>
      </c>
    </row>
    <row r="222" spans="1:13" x14ac:dyDescent="0.35">
      <c r="A222" s="8">
        <v>45512</v>
      </c>
      <c r="B222" t="s">
        <v>61</v>
      </c>
      <c r="C222">
        <v>6</v>
      </c>
      <c r="D222" t="s">
        <v>11</v>
      </c>
      <c r="E222" t="s">
        <v>11</v>
      </c>
      <c r="F222">
        <f>VLOOKUP(B222,Catalogue!$A$1:$F$51,5,FALSE)</f>
        <v>44</v>
      </c>
      <c r="G222">
        <f>VLOOKUP(B222,Catalogue!$A$1:$F$51,6,FALSE)</f>
        <v>72.599999999999994</v>
      </c>
      <c r="H222">
        <f t="shared" si="12"/>
        <v>264</v>
      </c>
      <c r="I222">
        <f t="shared" si="13"/>
        <v>435.59999999999997</v>
      </c>
      <c r="J222">
        <f t="shared" si="14"/>
        <v>171.59999999999997</v>
      </c>
      <c r="K222" t="str">
        <v>Maggi Noodles</v>
      </c>
      <c r="L222" t="str">
        <f t="shared" si="15"/>
        <v>Aug</v>
      </c>
      <c r="M222" t="str">
        <v>Packaged Foods</v>
      </c>
    </row>
    <row r="223" spans="1:13" x14ac:dyDescent="0.35">
      <c r="A223" s="8">
        <v>45513</v>
      </c>
      <c r="B223" t="s">
        <v>33</v>
      </c>
      <c r="C223">
        <v>16</v>
      </c>
      <c r="D223" t="s">
        <v>10</v>
      </c>
      <c r="E223" t="s">
        <v>12</v>
      </c>
      <c r="F223">
        <f>VLOOKUP(B223,Catalogue!$A$1:$F$51,5,FALSE)</f>
        <v>10</v>
      </c>
      <c r="G223">
        <f>VLOOKUP(B223,Catalogue!$A$1:$F$51,6,FALSE)</f>
        <v>11.2</v>
      </c>
      <c r="H223">
        <f t="shared" si="12"/>
        <v>160</v>
      </c>
      <c r="I223">
        <f t="shared" si="13"/>
        <v>179.2</v>
      </c>
      <c r="J223">
        <f t="shared" si="14"/>
        <v>19.199999999999989</v>
      </c>
      <c r="K223" t="str">
        <v>Sunfeast Biscuits</v>
      </c>
      <c r="L223" t="str">
        <f t="shared" si="15"/>
        <v>Aug</v>
      </c>
      <c r="M223" t="str">
        <v>Packaged Foods</v>
      </c>
    </row>
    <row r="224" spans="1:13" x14ac:dyDescent="0.35">
      <c r="A224" s="8">
        <v>45514</v>
      </c>
      <c r="B224" t="s">
        <v>36</v>
      </c>
      <c r="C224">
        <v>2</v>
      </c>
      <c r="D224" t="s">
        <v>10</v>
      </c>
      <c r="E224" t="s">
        <v>12</v>
      </c>
      <c r="F224">
        <f>VLOOKUP(B224,Catalogue!$A$1:$F$51,5,FALSE)</f>
        <v>16</v>
      </c>
      <c r="G224">
        <f>VLOOKUP(B224,Catalogue!$A$1:$F$51,6,FALSE)</f>
        <v>17.600000000000001</v>
      </c>
      <c r="H224">
        <f t="shared" si="12"/>
        <v>32</v>
      </c>
      <c r="I224">
        <f t="shared" si="13"/>
        <v>35.200000000000003</v>
      </c>
      <c r="J224">
        <f t="shared" si="14"/>
        <v>3.2000000000000028</v>
      </c>
      <c r="K224" t="str">
        <v>Nestlé Cerelac</v>
      </c>
      <c r="L224" t="str">
        <f t="shared" si="15"/>
        <v>Aug</v>
      </c>
      <c r="M224" t="str">
        <v>Packaged Foods</v>
      </c>
    </row>
    <row r="225" spans="1:13" x14ac:dyDescent="0.35">
      <c r="A225" s="8">
        <v>45515</v>
      </c>
      <c r="B225" t="s">
        <v>55</v>
      </c>
      <c r="C225">
        <v>20</v>
      </c>
      <c r="D225" t="s">
        <v>11</v>
      </c>
      <c r="E225" t="s">
        <v>11</v>
      </c>
      <c r="F225">
        <f>VLOOKUP(B225,Catalogue!$A$1:$F$51,5,FALSE)</f>
        <v>98</v>
      </c>
      <c r="G225">
        <f>VLOOKUP(B225,Catalogue!$A$1:$F$51,6,FALSE)</f>
        <v>110.74</v>
      </c>
      <c r="H225">
        <f t="shared" si="12"/>
        <v>1960</v>
      </c>
      <c r="I225">
        <f t="shared" si="13"/>
        <v>2214.7999999999997</v>
      </c>
      <c r="J225">
        <f t="shared" si="14"/>
        <v>254.79999999999973</v>
      </c>
      <c r="K225" t="str">
        <v>MTR Ready Curry</v>
      </c>
      <c r="L225" t="str">
        <f t="shared" si="15"/>
        <v>Aug</v>
      </c>
      <c r="M225" t="str">
        <v>Packaged Foods</v>
      </c>
    </row>
    <row r="226" spans="1:13" x14ac:dyDescent="0.35">
      <c r="A226" s="8">
        <v>45516</v>
      </c>
      <c r="B226" t="s">
        <v>81</v>
      </c>
      <c r="C226">
        <v>14</v>
      </c>
      <c r="D226" t="s">
        <v>10</v>
      </c>
      <c r="E226" t="s">
        <v>12</v>
      </c>
      <c r="F226">
        <f>VLOOKUP(B226,Catalogue!$A$1:$F$51,5,FALSE)</f>
        <v>123</v>
      </c>
      <c r="G226">
        <f>VLOOKUP(B226,Catalogue!$A$1:$F$51,6,FALSE)</f>
        <v>140.22</v>
      </c>
      <c r="H226">
        <f t="shared" si="12"/>
        <v>1722</v>
      </c>
      <c r="I226">
        <f t="shared" si="13"/>
        <v>1963.08</v>
      </c>
      <c r="J226">
        <f t="shared" si="14"/>
        <v>241.07999999999993</v>
      </c>
      <c r="K226" t="str">
        <v>Haldiram's Bhujia</v>
      </c>
      <c r="L226" t="str">
        <f t="shared" si="15"/>
        <v>Aug</v>
      </c>
      <c r="M226" t="str">
        <v>Packaged Foods</v>
      </c>
    </row>
    <row r="227" spans="1:13" x14ac:dyDescent="0.35">
      <c r="A227" s="8">
        <v>45517</v>
      </c>
      <c r="B227" t="s">
        <v>162</v>
      </c>
      <c r="C227">
        <v>4</v>
      </c>
      <c r="D227" t="s">
        <v>10</v>
      </c>
      <c r="E227" t="s">
        <v>11</v>
      </c>
      <c r="F227">
        <f>VLOOKUP(B227,Catalogue!$A$1:$F$51,5,FALSE)</f>
        <v>12</v>
      </c>
      <c r="G227">
        <f>VLOOKUP(B227,Catalogue!$A$1:$F$51,6,FALSE)</f>
        <v>17.52</v>
      </c>
      <c r="H227">
        <f t="shared" si="12"/>
        <v>48</v>
      </c>
      <c r="I227">
        <f t="shared" si="13"/>
        <v>70.08</v>
      </c>
      <c r="J227">
        <f t="shared" si="14"/>
        <v>22.08</v>
      </c>
      <c r="K227" t="str">
        <v>Lay's Chips</v>
      </c>
      <c r="L227" t="str">
        <f t="shared" si="15"/>
        <v>Aug</v>
      </c>
      <c r="M227" t="str">
        <v>Packaged Foods</v>
      </c>
    </row>
    <row r="228" spans="1:13" x14ac:dyDescent="0.35">
      <c r="A228" s="8">
        <v>45518</v>
      </c>
      <c r="B228" t="s">
        <v>45</v>
      </c>
      <c r="C228">
        <v>4</v>
      </c>
      <c r="D228" t="s">
        <v>11</v>
      </c>
      <c r="E228" t="s">
        <v>12</v>
      </c>
      <c r="F228">
        <f>VLOOKUP(B228,Catalogue!$A$1:$F$51,5,FALSE)</f>
        <v>136</v>
      </c>
      <c r="G228">
        <f>VLOOKUP(B228,Catalogue!$A$1:$F$51,6,FALSE)</f>
        <v>179.52</v>
      </c>
      <c r="H228">
        <f t="shared" si="12"/>
        <v>544</v>
      </c>
      <c r="I228">
        <f t="shared" si="13"/>
        <v>718.08</v>
      </c>
      <c r="J228">
        <f t="shared" si="14"/>
        <v>174.08000000000004</v>
      </c>
      <c r="K228" t="str">
        <v>Kellogg’s Corn Flakes</v>
      </c>
      <c r="L228" t="str">
        <f t="shared" si="15"/>
        <v>Aug</v>
      </c>
      <c r="M228" t="str">
        <v>Packaged Foods</v>
      </c>
    </row>
    <row r="229" spans="1:13" x14ac:dyDescent="0.35">
      <c r="A229" s="8">
        <v>45519</v>
      </c>
      <c r="B229" t="s">
        <v>153</v>
      </c>
      <c r="C229">
        <v>17</v>
      </c>
      <c r="D229" t="s">
        <v>13</v>
      </c>
      <c r="E229" t="s">
        <v>11</v>
      </c>
      <c r="F229">
        <f>VLOOKUP(B229,Catalogue!$A$1:$F$51,5,FALSE)</f>
        <v>10</v>
      </c>
      <c r="G229">
        <f>VLOOKUP(B229,Catalogue!$A$1:$F$51,6,FALSE)</f>
        <v>11.2</v>
      </c>
      <c r="H229">
        <f t="shared" si="12"/>
        <v>170</v>
      </c>
      <c r="I229">
        <f t="shared" si="13"/>
        <v>190.39999999999998</v>
      </c>
      <c r="J229">
        <f t="shared" si="14"/>
        <v>20.399999999999977</v>
      </c>
      <c r="K229" t="str">
        <v>Britannia Cake</v>
      </c>
      <c r="L229" t="str">
        <f t="shared" si="15"/>
        <v>Aug</v>
      </c>
      <c r="M229" t="str">
        <v>Packaged Foods</v>
      </c>
    </row>
    <row r="230" spans="1:13" x14ac:dyDescent="0.35">
      <c r="A230" s="8">
        <v>45520</v>
      </c>
      <c r="B230" t="s">
        <v>45</v>
      </c>
      <c r="C230">
        <v>18</v>
      </c>
      <c r="D230" t="s">
        <v>13</v>
      </c>
      <c r="E230" t="s">
        <v>12</v>
      </c>
      <c r="F230">
        <f>VLOOKUP(B230,Catalogue!$A$1:$F$51,5,FALSE)</f>
        <v>136</v>
      </c>
      <c r="G230">
        <f>VLOOKUP(B230,Catalogue!$A$1:$F$51,6,FALSE)</f>
        <v>179.52</v>
      </c>
      <c r="H230">
        <f t="shared" si="12"/>
        <v>2448</v>
      </c>
      <c r="I230">
        <f t="shared" si="13"/>
        <v>3231.36</v>
      </c>
      <c r="J230">
        <f t="shared" si="14"/>
        <v>783.36000000000013</v>
      </c>
      <c r="K230" t="str">
        <v>Yippee Noodles</v>
      </c>
      <c r="L230" t="str">
        <f t="shared" si="15"/>
        <v>Aug</v>
      </c>
      <c r="M230" t="str">
        <v>Packaged Foods</v>
      </c>
    </row>
    <row r="231" spans="1:13" x14ac:dyDescent="0.35">
      <c r="A231" s="8">
        <v>45521</v>
      </c>
      <c r="B231" t="s">
        <v>119</v>
      </c>
      <c r="C231">
        <v>11</v>
      </c>
      <c r="D231" t="s">
        <v>11</v>
      </c>
      <c r="E231" t="s">
        <v>12</v>
      </c>
      <c r="F231">
        <f>VLOOKUP(B231,Catalogue!$A$1:$F$51,5,FALSE)</f>
        <v>136</v>
      </c>
      <c r="G231">
        <f>VLOOKUP(B231,Catalogue!$A$1:$F$51,6,FALSE)</f>
        <v>224.4</v>
      </c>
      <c r="H231">
        <f t="shared" si="12"/>
        <v>1496</v>
      </c>
      <c r="I231">
        <f t="shared" si="13"/>
        <v>2468.4</v>
      </c>
      <c r="J231">
        <f t="shared" si="14"/>
        <v>972.40000000000009</v>
      </c>
      <c r="K231" t="str">
        <v>Top Ramen</v>
      </c>
      <c r="L231" t="str">
        <f t="shared" si="15"/>
        <v>Aug</v>
      </c>
      <c r="M231" t="str">
        <v>Packaged Foods</v>
      </c>
    </row>
    <row r="232" spans="1:13" x14ac:dyDescent="0.35">
      <c r="A232" s="8">
        <v>45522</v>
      </c>
      <c r="B232" t="s">
        <v>64</v>
      </c>
      <c r="C232">
        <v>6</v>
      </c>
      <c r="D232" t="s">
        <v>10</v>
      </c>
      <c r="E232" t="s">
        <v>11</v>
      </c>
      <c r="F232">
        <f>VLOOKUP(B232,Catalogue!$A$1:$F$51,5,FALSE)</f>
        <v>71</v>
      </c>
      <c r="G232">
        <f>VLOOKUP(B232,Catalogue!$A$1:$F$51,6,FALSE)</f>
        <v>79.52</v>
      </c>
      <c r="H232">
        <f t="shared" si="12"/>
        <v>426</v>
      </c>
      <c r="I232">
        <f t="shared" si="13"/>
        <v>477.12</v>
      </c>
      <c r="J232">
        <f t="shared" si="14"/>
        <v>51.120000000000005</v>
      </c>
      <c r="K232" t="str">
        <v>Surf Excel Detergent</v>
      </c>
      <c r="L232" t="str">
        <f t="shared" si="15"/>
        <v>Aug</v>
      </c>
      <c r="M232" t="str">
        <v>Household Cleaning</v>
      </c>
    </row>
    <row r="233" spans="1:13" x14ac:dyDescent="0.35">
      <c r="A233" s="8">
        <v>45523</v>
      </c>
      <c r="B233" t="s">
        <v>93</v>
      </c>
      <c r="C233">
        <v>19</v>
      </c>
      <c r="D233" t="s">
        <v>10</v>
      </c>
      <c r="E233" t="s">
        <v>12</v>
      </c>
      <c r="F233">
        <f>VLOOKUP(B233,Catalogue!$A$1:$F$51,5,FALSE)</f>
        <v>105</v>
      </c>
      <c r="G233">
        <f>VLOOKUP(B233,Catalogue!$A$1:$F$51,6,FALSE)</f>
        <v>117.6</v>
      </c>
      <c r="H233">
        <f t="shared" si="12"/>
        <v>1995</v>
      </c>
      <c r="I233">
        <f t="shared" si="13"/>
        <v>2234.4</v>
      </c>
      <c r="J233">
        <f t="shared" si="14"/>
        <v>239.40000000000009</v>
      </c>
      <c r="K233" t="str">
        <v>Vim Dishwash Bar</v>
      </c>
      <c r="L233" t="str">
        <f t="shared" si="15"/>
        <v>Aug</v>
      </c>
      <c r="M233" t="str">
        <v>Household Cleaning</v>
      </c>
    </row>
    <row r="234" spans="1:13" x14ac:dyDescent="0.35">
      <c r="A234" s="8">
        <v>45524</v>
      </c>
      <c r="B234" t="s">
        <v>141</v>
      </c>
      <c r="C234">
        <v>16</v>
      </c>
      <c r="D234" t="s">
        <v>11</v>
      </c>
      <c r="E234" t="s">
        <v>12</v>
      </c>
      <c r="F234">
        <f>VLOOKUP(B234,Catalogue!$A$1:$F$51,5,FALSE)</f>
        <v>133</v>
      </c>
      <c r="G234">
        <f>VLOOKUP(B234,Catalogue!$A$1:$F$51,6,FALSE)</f>
        <v>151.62</v>
      </c>
      <c r="H234">
        <f t="shared" si="12"/>
        <v>2128</v>
      </c>
      <c r="I234">
        <f t="shared" si="13"/>
        <v>2425.92</v>
      </c>
      <c r="J234">
        <f t="shared" si="14"/>
        <v>297.92000000000007</v>
      </c>
      <c r="K234" t="str">
        <v>Harpic Toilet Cleaner</v>
      </c>
      <c r="L234" t="str">
        <f t="shared" si="15"/>
        <v>Aug</v>
      </c>
      <c r="M234" t="str">
        <v>Household Cleaning</v>
      </c>
    </row>
    <row r="235" spans="1:13" x14ac:dyDescent="0.35">
      <c r="A235" s="8">
        <v>45525</v>
      </c>
      <c r="B235" t="s">
        <v>102</v>
      </c>
      <c r="C235">
        <v>2</v>
      </c>
      <c r="D235" t="s">
        <v>10</v>
      </c>
      <c r="E235" t="s">
        <v>11</v>
      </c>
      <c r="F235">
        <f>VLOOKUP(B235,Catalogue!$A$1:$F$51,5,FALSE)</f>
        <v>133</v>
      </c>
      <c r="G235">
        <f>VLOOKUP(B235,Catalogue!$A$1:$F$51,6,FALSE)</f>
        <v>194.18</v>
      </c>
      <c r="H235">
        <f t="shared" si="12"/>
        <v>266</v>
      </c>
      <c r="I235">
        <f t="shared" si="13"/>
        <v>388.36</v>
      </c>
      <c r="J235">
        <f t="shared" si="14"/>
        <v>122.36000000000001</v>
      </c>
      <c r="K235" t="str">
        <v>Lizol Floor Cleaner</v>
      </c>
      <c r="L235" t="str">
        <f t="shared" si="15"/>
        <v>Aug</v>
      </c>
      <c r="M235" t="str">
        <v>Household Cleaning</v>
      </c>
    </row>
    <row r="236" spans="1:13" x14ac:dyDescent="0.35">
      <c r="A236" s="8">
        <v>45526</v>
      </c>
      <c r="B236" t="s">
        <v>18</v>
      </c>
      <c r="C236">
        <v>18</v>
      </c>
      <c r="D236" t="s">
        <v>10</v>
      </c>
      <c r="E236" t="s">
        <v>12</v>
      </c>
      <c r="F236">
        <f>VLOOKUP(B236,Catalogue!$A$1:$F$51,5,FALSE)</f>
        <v>105</v>
      </c>
      <c r="G236">
        <f>VLOOKUP(B236,Catalogue!$A$1:$F$51,6,FALSE)</f>
        <v>117.6</v>
      </c>
      <c r="H236">
        <f t="shared" si="12"/>
        <v>1890</v>
      </c>
      <c r="I236">
        <f t="shared" si="13"/>
        <v>2116.7999999999997</v>
      </c>
      <c r="J236">
        <f t="shared" si="14"/>
        <v>226.79999999999973</v>
      </c>
      <c r="K236" t="str">
        <v>Domex Disinfectant</v>
      </c>
      <c r="L236" t="str">
        <f t="shared" si="15"/>
        <v>Aug</v>
      </c>
      <c r="M236" t="str">
        <v>Household Cleaning</v>
      </c>
    </row>
    <row r="237" spans="1:13" x14ac:dyDescent="0.35">
      <c r="A237" s="8">
        <v>45527</v>
      </c>
      <c r="B237" t="s">
        <v>150</v>
      </c>
      <c r="C237">
        <v>10</v>
      </c>
      <c r="D237" t="s">
        <v>11</v>
      </c>
      <c r="E237" t="s">
        <v>11</v>
      </c>
      <c r="F237">
        <f>VLOOKUP(B237,Catalogue!$A$1:$F$51,5,FALSE)</f>
        <v>16</v>
      </c>
      <c r="G237">
        <f>VLOOKUP(B237,Catalogue!$A$1:$F$51,6,FALSE)</f>
        <v>26.4</v>
      </c>
      <c r="H237">
        <f t="shared" si="12"/>
        <v>160</v>
      </c>
      <c r="I237">
        <f t="shared" si="13"/>
        <v>264</v>
      </c>
      <c r="J237">
        <f t="shared" si="14"/>
        <v>104</v>
      </c>
      <c r="K237" t="str">
        <v>Rin Bar</v>
      </c>
      <c r="L237" t="str">
        <f t="shared" si="15"/>
        <v>Aug</v>
      </c>
      <c r="M237" t="str">
        <v>Household Cleaning</v>
      </c>
    </row>
    <row r="238" spans="1:13" x14ac:dyDescent="0.35">
      <c r="A238" s="8">
        <v>45528</v>
      </c>
      <c r="B238" t="s">
        <v>162</v>
      </c>
      <c r="C238">
        <v>16</v>
      </c>
      <c r="D238" t="s">
        <v>13</v>
      </c>
      <c r="E238" t="s">
        <v>12</v>
      </c>
      <c r="F238">
        <f>VLOOKUP(B238,Catalogue!$A$1:$F$51,5,FALSE)</f>
        <v>12</v>
      </c>
      <c r="G238">
        <f>VLOOKUP(B238,Catalogue!$A$1:$F$51,6,FALSE)</f>
        <v>17.52</v>
      </c>
      <c r="H238">
        <f t="shared" si="12"/>
        <v>192</v>
      </c>
      <c r="I238">
        <f t="shared" si="13"/>
        <v>280.32</v>
      </c>
      <c r="J238">
        <f t="shared" si="14"/>
        <v>88.32</v>
      </c>
      <c r="K238" t="str">
        <v>Scotch-Brite Scrub Pad</v>
      </c>
      <c r="L238" t="str">
        <f t="shared" si="15"/>
        <v>Aug</v>
      </c>
      <c r="M238" t="str">
        <v>Household Cleaning</v>
      </c>
    </row>
    <row r="239" spans="1:13" x14ac:dyDescent="0.35">
      <c r="A239" s="8">
        <v>45529</v>
      </c>
      <c r="B239" t="s">
        <v>24</v>
      </c>
      <c r="C239">
        <v>17</v>
      </c>
      <c r="D239" t="s">
        <v>13</v>
      </c>
      <c r="E239" t="s">
        <v>11</v>
      </c>
      <c r="F239">
        <f>VLOOKUP(B239,Catalogue!$A$1:$F$51,5,FALSE)</f>
        <v>71</v>
      </c>
      <c r="G239">
        <f>VLOOKUP(B239,Catalogue!$A$1:$F$51,6,FALSE)</f>
        <v>80.23</v>
      </c>
      <c r="H239">
        <f t="shared" si="12"/>
        <v>1207</v>
      </c>
      <c r="I239">
        <f t="shared" si="13"/>
        <v>1363.91</v>
      </c>
      <c r="J239">
        <f t="shared" si="14"/>
        <v>156.91000000000008</v>
      </c>
      <c r="K239" t="str">
        <v>Pril Dishwash Liquid</v>
      </c>
      <c r="L239" t="str">
        <f t="shared" si="15"/>
        <v>Aug</v>
      </c>
      <c r="M239" t="str">
        <v>Household Cleaning</v>
      </c>
    </row>
    <row r="240" spans="1:13" x14ac:dyDescent="0.35">
      <c r="A240" s="8">
        <v>45530</v>
      </c>
      <c r="B240" t="s">
        <v>141</v>
      </c>
      <c r="C240">
        <v>8</v>
      </c>
      <c r="D240" t="s">
        <v>11</v>
      </c>
      <c r="E240" t="s">
        <v>12</v>
      </c>
      <c r="F240">
        <f>VLOOKUP(B240,Catalogue!$A$1:$F$51,5,FALSE)</f>
        <v>133</v>
      </c>
      <c r="G240">
        <f>VLOOKUP(B240,Catalogue!$A$1:$F$51,6,FALSE)</f>
        <v>151.62</v>
      </c>
      <c r="H240">
        <f t="shared" si="12"/>
        <v>1064</v>
      </c>
      <c r="I240">
        <f t="shared" si="13"/>
        <v>1212.96</v>
      </c>
      <c r="J240">
        <f t="shared" si="14"/>
        <v>148.96000000000004</v>
      </c>
      <c r="K240" t="str">
        <v>Exo Dishwash Bar</v>
      </c>
      <c r="L240" t="str">
        <f t="shared" si="15"/>
        <v>Aug</v>
      </c>
      <c r="M240" t="str">
        <v>Household Cleaning</v>
      </c>
    </row>
    <row r="241" spans="1:13" x14ac:dyDescent="0.35">
      <c r="A241" s="8">
        <v>45531</v>
      </c>
      <c r="B241" t="s">
        <v>144</v>
      </c>
      <c r="C241">
        <v>11</v>
      </c>
      <c r="D241" t="s">
        <v>10</v>
      </c>
      <c r="E241" t="s">
        <v>12</v>
      </c>
      <c r="F241">
        <f>VLOOKUP(B241,Catalogue!$A$1:$F$51,5,FALSE)</f>
        <v>124</v>
      </c>
      <c r="G241">
        <f>VLOOKUP(B241,Catalogue!$A$1:$F$51,6,FALSE)</f>
        <v>140.12</v>
      </c>
      <c r="H241">
        <f t="shared" si="12"/>
        <v>1364</v>
      </c>
      <c r="I241">
        <f t="shared" si="13"/>
        <v>1541.3200000000002</v>
      </c>
      <c r="J241">
        <f t="shared" si="14"/>
        <v>177.32000000000016</v>
      </c>
      <c r="K241" t="str">
        <v>Odonil Room Freshener</v>
      </c>
      <c r="L241" t="str">
        <f t="shared" si="15"/>
        <v>Aug</v>
      </c>
      <c r="M241" t="str">
        <v>Household Cleaning</v>
      </c>
    </row>
    <row r="242" spans="1:13" x14ac:dyDescent="0.35">
      <c r="A242" s="8">
        <v>45532</v>
      </c>
      <c r="B242" t="s">
        <v>39</v>
      </c>
      <c r="C242">
        <v>14</v>
      </c>
      <c r="D242" t="s">
        <v>10</v>
      </c>
      <c r="E242" t="s">
        <v>11</v>
      </c>
      <c r="F242">
        <f>VLOOKUP(B242,Catalogue!$A$1:$F$51,5,FALSE)</f>
        <v>10</v>
      </c>
      <c r="G242">
        <f>VLOOKUP(B242,Catalogue!$A$1:$F$51,6,FALSE)</f>
        <v>13.5</v>
      </c>
      <c r="H242">
        <f t="shared" si="12"/>
        <v>140</v>
      </c>
      <c r="I242">
        <f t="shared" si="13"/>
        <v>189</v>
      </c>
      <c r="J242">
        <f t="shared" si="14"/>
        <v>49</v>
      </c>
      <c r="K242" t="str">
        <v>Whisper Sanitary Pads</v>
      </c>
      <c r="L242" t="str">
        <f t="shared" si="15"/>
        <v>Aug</v>
      </c>
      <c r="M242" t="str">
        <v>Paper &amp; Essentials</v>
      </c>
    </row>
    <row r="243" spans="1:13" x14ac:dyDescent="0.35">
      <c r="A243" s="8">
        <v>45533</v>
      </c>
      <c r="B243" t="s">
        <v>36</v>
      </c>
      <c r="C243">
        <v>16</v>
      </c>
      <c r="D243" t="s">
        <v>11</v>
      </c>
      <c r="E243" t="s">
        <v>12</v>
      </c>
      <c r="F243">
        <f>VLOOKUP(B243,Catalogue!$A$1:$F$51,5,FALSE)</f>
        <v>16</v>
      </c>
      <c r="G243">
        <f>VLOOKUP(B243,Catalogue!$A$1:$F$51,6,FALSE)</f>
        <v>17.600000000000001</v>
      </c>
      <c r="H243">
        <f t="shared" si="12"/>
        <v>256</v>
      </c>
      <c r="I243">
        <f t="shared" si="13"/>
        <v>281.60000000000002</v>
      </c>
      <c r="J243">
        <f t="shared" si="14"/>
        <v>25.600000000000023</v>
      </c>
      <c r="K243" t="str">
        <v>Sofy Pantyliners</v>
      </c>
      <c r="L243" t="str">
        <f t="shared" si="15"/>
        <v>Aug</v>
      </c>
      <c r="M243" t="str">
        <v>Paper &amp; Essentials</v>
      </c>
    </row>
    <row r="244" spans="1:13" x14ac:dyDescent="0.35">
      <c r="A244" s="8">
        <v>45534</v>
      </c>
      <c r="B244" t="s">
        <v>30</v>
      </c>
      <c r="C244">
        <v>19</v>
      </c>
      <c r="D244" t="s">
        <v>10</v>
      </c>
      <c r="E244" t="s">
        <v>12</v>
      </c>
      <c r="F244">
        <f>VLOOKUP(B244,Catalogue!$A$1:$F$51,5,FALSE)</f>
        <v>124</v>
      </c>
      <c r="G244">
        <f>VLOOKUP(B244,Catalogue!$A$1:$F$51,6,FALSE)</f>
        <v>204.60000000000002</v>
      </c>
      <c r="H244">
        <f t="shared" si="12"/>
        <v>2356</v>
      </c>
      <c r="I244">
        <f t="shared" si="13"/>
        <v>3887.4000000000005</v>
      </c>
      <c r="J244">
        <f t="shared" si="14"/>
        <v>1531.4000000000005</v>
      </c>
      <c r="K244" t="str">
        <v>Kleenex Tissue Box</v>
      </c>
      <c r="L244" t="str">
        <f t="shared" si="15"/>
        <v>Aug</v>
      </c>
      <c r="M244" t="str">
        <v>Paper &amp; Essentials</v>
      </c>
    </row>
    <row r="245" spans="1:13" x14ac:dyDescent="0.35">
      <c r="A245" s="8">
        <v>45535</v>
      </c>
      <c r="B245" t="s">
        <v>113</v>
      </c>
      <c r="C245">
        <v>2</v>
      </c>
      <c r="D245" t="s">
        <v>10</v>
      </c>
      <c r="E245" t="s">
        <v>11</v>
      </c>
      <c r="F245">
        <f>VLOOKUP(B245,Catalogue!$A$1:$F$51,5,FALSE)</f>
        <v>10</v>
      </c>
      <c r="G245">
        <f>VLOOKUP(B245,Catalogue!$A$1:$F$51,6,FALSE)</f>
        <v>11.3</v>
      </c>
      <c r="H245">
        <f t="shared" si="12"/>
        <v>20</v>
      </c>
      <c r="I245">
        <f t="shared" si="13"/>
        <v>22.6</v>
      </c>
      <c r="J245">
        <f t="shared" si="14"/>
        <v>2.6000000000000014</v>
      </c>
      <c r="K245" t="str">
        <v>Origami Kitchen Towels</v>
      </c>
      <c r="L245" t="str">
        <f t="shared" si="15"/>
        <v>Aug</v>
      </c>
      <c r="M245" t="str">
        <v>Paper &amp; Essentials</v>
      </c>
    </row>
    <row r="246" spans="1:13" x14ac:dyDescent="0.35">
      <c r="A246" s="8">
        <v>45536</v>
      </c>
      <c r="B246" t="s">
        <v>111</v>
      </c>
      <c r="C246">
        <v>3</v>
      </c>
      <c r="D246" t="s">
        <v>11</v>
      </c>
      <c r="E246" t="s">
        <v>12</v>
      </c>
      <c r="F246">
        <f>VLOOKUP(B246,Catalogue!$A$1:$F$51,5,FALSE)</f>
        <v>16</v>
      </c>
      <c r="G246">
        <f>VLOOKUP(B246,Catalogue!$A$1:$F$51,6,FALSE)</f>
        <v>18.240000000000002</v>
      </c>
      <c r="H246">
        <f t="shared" si="12"/>
        <v>48</v>
      </c>
      <c r="I246">
        <f t="shared" si="13"/>
        <v>54.720000000000006</v>
      </c>
      <c r="J246">
        <f t="shared" si="14"/>
        <v>6.720000000000006</v>
      </c>
      <c r="K246" t="str">
        <v>Stayfree Ultra</v>
      </c>
      <c r="L246" t="str">
        <f t="shared" si="15"/>
        <v>Sep</v>
      </c>
      <c r="M246" t="str">
        <v>Paper &amp; Essentials</v>
      </c>
    </row>
    <row r="247" spans="1:13" x14ac:dyDescent="0.35">
      <c r="A247" s="8">
        <v>45537</v>
      </c>
      <c r="B247" t="s">
        <v>131</v>
      </c>
      <c r="C247">
        <v>13</v>
      </c>
      <c r="D247" t="s">
        <v>13</v>
      </c>
      <c r="E247" t="s">
        <v>11</v>
      </c>
      <c r="F247">
        <f>VLOOKUP(B247,Catalogue!$A$1:$F$51,5,FALSE)</f>
        <v>105</v>
      </c>
      <c r="G247">
        <f>VLOOKUP(B247,Catalogue!$A$1:$F$51,6,FALSE)</f>
        <v>153.30000000000001</v>
      </c>
      <c r="H247">
        <f t="shared" si="12"/>
        <v>1365</v>
      </c>
      <c r="I247">
        <f t="shared" si="13"/>
        <v>1992.9</v>
      </c>
      <c r="J247">
        <f t="shared" si="14"/>
        <v>627.90000000000009</v>
      </c>
      <c r="K247" t="str">
        <v>Scott Toilet Paper</v>
      </c>
      <c r="L247" t="str">
        <f t="shared" si="15"/>
        <v>Sep</v>
      </c>
      <c r="M247" t="str">
        <v>Paper &amp; Essentials</v>
      </c>
    </row>
    <row r="248" spans="1:13" x14ac:dyDescent="0.35">
      <c r="A248" s="8">
        <v>45538</v>
      </c>
      <c r="B248" t="s">
        <v>87</v>
      </c>
      <c r="C248">
        <v>9</v>
      </c>
      <c r="D248" t="s">
        <v>13</v>
      </c>
      <c r="E248" t="s">
        <v>12</v>
      </c>
      <c r="F248">
        <f>VLOOKUP(B248,Catalogue!$A$1:$F$51,5,FALSE)</f>
        <v>12</v>
      </c>
      <c r="G248">
        <f>VLOOKUP(B248,Catalogue!$A$1:$F$51,6,FALSE)</f>
        <v>16.920000000000002</v>
      </c>
      <c r="H248">
        <f t="shared" si="12"/>
        <v>108</v>
      </c>
      <c r="I248">
        <f t="shared" si="13"/>
        <v>152.28000000000003</v>
      </c>
      <c r="J248">
        <f t="shared" si="14"/>
        <v>44.28000000000003</v>
      </c>
      <c r="K248" t="str">
        <v>Bella Napkins</v>
      </c>
      <c r="L248" t="str">
        <f t="shared" si="15"/>
        <v>Sep</v>
      </c>
      <c r="M248" t="str">
        <v>Paper &amp; Essentials</v>
      </c>
    </row>
    <row r="249" spans="1:13" x14ac:dyDescent="0.35">
      <c r="A249" s="8">
        <v>45539</v>
      </c>
      <c r="B249" t="s">
        <v>119</v>
      </c>
      <c r="C249">
        <v>18</v>
      </c>
      <c r="D249" t="s">
        <v>11</v>
      </c>
      <c r="E249" t="s">
        <v>11</v>
      </c>
      <c r="F249">
        <f>VLOOKUP(B249,Catalogue!$A$1:$F$51,5,FALSE)</f>
        <v>136</v>
      </c>
      <c r="G249">
        <f>VLOOKUP(B249,Catalogue!$A$1:$F$51,6,FALSE)</f>
        <v>224.4</v>
      </c>
      <c r="H249">
        <f t="shared" si="12"/>
        <v>2448</v>
      </c>
      <c r="I249">
        <f t="shared" si="13"/>
        <v>4039.2000000000003</v>
      </c>
      <c r="J249">
        <f t="shared" si="14"/>
        <v>1591.2000000000003</v>
      </c>
      <c r="K249" t="str">
        <v>Everteen Wipes</v>
      </c>
      <c r="L249" t="str">
        <f t="shared" si="15"/>
        <v>Sep</v>
      </c>
      <c r="M249" t="str">
        <v>Paper &amp; Essentials</v>
      </c>
    </row>
    <row r="250" spans="1:13" x14ac:dyDescent="0.35">
      <c r="A250" s="8">
        <v>45540</v>
      </c>
      <c r="B250" t="s">
        <v>141</v>
      </c>
      <c r="C250">
        <v>5</v>
      </c>
      <c r="D250" t="s">
        <v>10</v>
      </c>
      <c r="E250" t="s">
        <v>12</v>
      </c>
      <c r="F250">
        <f>VLOOKUP(B250,Catalogue!$A$1:$F$51,5,FALSE)</f>
        <v>133</v>
      </c>
      <c r="G250">
        <f>VLOOKUP(B250,Catalogue!$A$1:$F$51,6,FALSE)</f>
        <v>151.62</v>
      </c>
      <c r="H250">
        <f t="shared" si="12"/>
        <v>665</v>
      </c>
      <c r="I250">
        <f t="shared" si="13"/>
        <v>758.1</v>
      </c>
      <c r="J250">
        <f t="shared" si="14"/>
        <v>93.100000000000023</v>
      </c>
      <c r="K250" t="str">
        <v>Premier Facial Tissues</v>
      </c>
      <c r="L250" t="str">
        <f t="shared" si="15"/>
        <v>Sep</v>
      </c>
      <c r="M250" t="str">
        <v>Paper &amp; Essentials</v>
      </c>
    </row>
    <row r="251" spans="1:13" x14ac:dyDescent="0.35">
      <c r="A251" s="8">
        <v>45541</v>
      </c>
      <c r="B251" t="s">
        <v>61</v>
      </c>
      <c r="C251">
        <v>17</v>
      </c>
      <c r="D251" t="s">
        <v>10</v>
      </c>
      <c r="E251" t="s">
        <v>12</v>
      </c>
      <c r="F251">
        <f>VLOOKUP(B251,Catalogue!$A$1:$F$51,5,FALSE)</f>
        <v>44</v>
      </c>
      <c r="G251">
        <f>VLOOKUP(B251,Catalogue!$A$1:$F$51,6,FALSE)</f>
        <v>72.599999999999994</v>
      </c>
      <c r="H251">
        <f t="shared" si="12"/>
        <v>748</v>
      </c>
      <c r="I251">
        <f t="shared" si="13"/>
        <v>1234.1999999999998</v>
      </c>
      <c r="J251">
        <f t="shared" si="14"/>
        <v>486.19999999999982</v>
      </c>
      <c r="K251" t="str">
        <v>Wet Wipes - Himalaya</v>
      </c>
      <c r="L251" t="str">
        <f t="shared" si="15"/>
        <v>Sep</v>
      </c>
      <c r="M251" t="str">
        <v>Paper &amp; Essentials</v>
      </c>
    </row>
    <row r="252" spans="1:13" x14ac:dyDescent="0.35">
      <c r="A252" s="8">
        <v>45542</v>
      </c>
      <c r="B252" t="s">
        <v>156</v>
      </c>
      <c r="C252">
        <v>15</v>
      </c>
      <c r="D252" t="s">
        <v>11</v>
      </c>
      <c r="E252" t="s">
        <v>11</v>
      </c>
      <c r="F252">
        <f>VLOOKUP(B252,Catalogue!$A$1:$F$51,5,FALSE)</f>
        <v>123</v>
      </c>
      <c r="G252">
        <f>VLOOKUP(B252,Catalogue!$A$1:$F$51,6,FALSE)</f>
        <v>135.30000000000001</v>
      </c>
      <c r="H252">
        <f t="shared" si="12"/>
        <v>1845</v>
      </c>
      <c r="I252">
        <f t="shared" si="13"/>
        <v>2029.5000000000002</v>
      </c>
      <c r="J252">
        <f t="shared" si="14"/>
        <v>184.50000000000023</v>
      </c>
      <c r="K252" t="str" cm="1">
        <f t="array" ref="K252:K301">Catalogue!B2:B51</f>
        <v>Dove Soap</v>
      </c>
      <c r="L252" t="str">
        <f t="shared" si="15"/>
        <v>Sep</v>
      </c>
      <c r="M252" t="str" cm="1">
        <f t="array" ref="M252:M301">Catalogue!C2:C51</f>
        <v>Personal Care</v>
      </c>
    </row>
    <row r="253" spans="1:13" x14ac:dyDescent="0.35">
      <c r="A253" s="8">
        <v>45543</v>
      </c>
      <c r="B253" t="s">
        <v>111</v>
      </c>
      <c r="C253">
        <v>13</v>
      </c>
      <c r="D253" t="s">
        <v>10</v>
      </c>
      <c r="E253" t="s">
        <v>12</v>
      </c>
      <c r="F253">
        <f>VLOOKUP(B253,Catalogue!$A$1:$F$51,5,FALSE)</f>
        <v>16</v>
      </c>
      <c r="G253">
        <f>VLOOKUP(B253,Catalogue!$A$1:$F$51,6,FALSE)</f>
        <v>18.240000000000002</v>
      </c>
      <c r="H253">
        <f t="shared" si="12"/>
        <v>208</v>
      </c>
      <c r="I253">
        <f t="shared" si="13"/>
        <v>237.12000000000003</v>
      </c>
      <c r="J253">
        <f t="shared" si="14"/>
        <v>29.120000000000033</v>
      </c>
      <c r="K253" t="str">
        <v>Colgate Toothpaste</v>
      </c>
      <c r="L253" t="str">
        <f t="shared" si="15"/>
        <v>Sep</v>
      </c>
      <c r="M253" t="str">
        <v>Personal Care</v>
      </c>
    </row>
    <row r="254" spans="1:13" x14ac:dyDescent="0.35">
      <c r="A254" s="8">
        <v>45544</v>
      </c>
      <c r="B254" t="s">
        <v>42</v>
      </c>
      <c r="C254">
        <v>4</v>
      </c>
      <c r="D254" t="s">
        <v>10</v>
      </c>
      <c r="E254" t="s">
        <v>12</v>
      </c>
      <c r="F254">
        <f>VLOOKUP(B254,Catalogue!$A$1:$F$51,5,FALSE)</f>
        <v>123</v>
      </c>
      <c r="G254">
        <f>VLOOKUP(B254,Catalogue!$A$1:$F$51,6,FALSE)</f>
        <v>179.58</v>
      </c>
      <c r="H254">
        <f t="shared" si="12"/>
        <v>492</v>
      </c>
      <c r="I254">
        <f t="shared" si="13"/>
        <v>718.32</v>
      </c>
      <c r="J254">
        <f t="shared" si="14"/>
        <v>226.32000000000005</v>
      </c>
      <c r="K254" t="str">
        <v>Lifebuoy Handwash</v>
      </c>
      <c r="L254" t="str">
        <f t="shared" si="15"/>
        <v>Sep</v>
      </c>
      <c r="M254" t="str">
        <v>Personal Care</v>
      </c>
    </row>
    <row r="255" spans="1:13" x14ac:dyDescent="0.35">
      <c r="A255" s="8">
        <v>45545</v>
      </c>
      <c r="B255" t="s">
        <v>27</v>
      </c>
      <c r="C255">
        <v>17</v>
      </c>
      <c r="D255" t="s">
        <v>11</v>
      </c>
      <c r="E255" t="s">
        <v>11</v>
      </c>
      <c r="F255">
        <f>VLOOKUP(B255,Catalogue!$A$1:$F$51,5,FALSE)</f>
        <v>133</v>
      </c>
      <c r="G255">
        <f>VLOOKUP(B255,Catalogue!$A$1:$F$51,6,FALSE)</f>
        <v>187.53</v>
      </c>
      <c r="H255">
        <f t="shared" si="12"/>
        <v>2261</v>
      </c>
      <c r="I255">
        <f t="shared" si="13"/>
        <v>3188.01</v>
      </c>
      <c r="J255">
        <f t="shared" si="14"/>
        <v>927.01000000000022</v>
      </c>
      <c r="K255" t="str">
        <v>Nivea Body Lotion</v>
      </c>
      <c r="L255" t="str">
        <f t="shared" si="15"/>
        <v>Sep</v>
      </c>
      <c r="M255" t="str">
        <v>Personal Care</v>
      </c>
    </row>
    <row r="256" spans="1:13" x14ac:dyDescent="0.35">
      <c r="A256" s="8">
        <v>45546</v>
      </c>
      <c r="B256" t="s">
        <v>113</v>
      </c>
      <c r="C256">
        <v>7</v>
      </c>
      <c r="D256" t="s">
        <v>13</v>
      </c>
      <c r="E256" t="s">
        <v>12</v>
      </c>
      <c r="F256">
        <f>VLOOKUP(B256,Catalogue!$A$1:$F$51,5,FALSE)</f>
        <v>10</v>
      </c>
      <c r="G256">
        <f>VLOOKUP(B256,Catalogue!$A$1:$F$51,6,FALSE)</f>
        <v>11.3</v>
      </c>
      <c r="H256">
        <f t="shared" si="12"/>
        <v>70</v>
      </c>
      <c r="I256">
        <f t="shared" si="13"/>
        <v>79.100000000000009</v>
      </c>
      <c r="J256">
        <f t="shared" si="14"/>
        <v>9.1000000000000085</v>
      </c>
      <c r="K256" t="str">
        <v>Gillette Shaving Foam</v>
      </c>
      <c r="L256" t="str">
        <f t="shared" si="15"/>
        <v>Sep</v>
      </c>
      <c r="M256" t="str">
        <v>Personal Care</v>
      </c>
    </row>
    <row r="257" spans="1:13" x14ac:dyDescent="0.35">
      <c r="A257" s="8">
        <v>45547</v>
      </c>
      <c r="B257" t="s">
        <v>108</v>
      </c>
      <c r="C257">
        <v>1</v>
      </c>
      <c r="D257" t="s">
        <v>13</v>
      </c>
      <c r="E257" t="s">
        <v>11</v>
      </c>
      <c r="F257">
        <f>VLOOKUP(B257,Catalogue!$A$1:$F$51,5,FALSE)</f>
        <v>10</v>
      </c>
      <c r="G257">
        <f>VLOOKUP(B257,Catalogue!$A$1:$F$51,6,FALSE)</f>
        <v>11.2</v>
      </c>
      <c r="H257">
        <f t="shared" si="12"/>
        <v>10</v>
      </c>
      <c r="I257">
        <f t="shared" si="13"/>
        <v>11.2</v>
      </c>
      <c r="J257">
        <f t="shared" si="14"/>
        <v>1.1999999999999993</v>
      </c>
      <c r="K257" t="str">
        <v>Pantene Shampoo</v>
      </c>
      <c r="L257" t="str">
        <f t="shared" si="15"/>
        <v>Sep</v>
      </c>
      <c r="M257" t="str">
        <v>Personal Care</v>
      </c>
    </row>
    <row r="258" spans="1:13" x14ac:dyDescent="0.35">
      <c r="A258" s="8">
        <v>45548</v>
      </c>
      <c r="B258" t="s">
        <v>24</v>
      </c>
      <c r="C258">
        <v>7</v>
      </c>
      <c r="D258" t="s">
        <v>11</v>
      </c>
      <c r="E258" t="s">
        <v>12</v>
      </c>
      <c r="F258">
        <f>VLOOKUP(B258,Catalogue!$A$1:$F$51,5,FALSE)</f>
        <v>71</v>
      </c>
      <c r="G258">
        <f>VLOOKUP(B258,Catalogue!$A$1:$F$51,6,FALSE)</f>
        <v>80.23</v>
      </c>
      <c r="H258">
        <f t="shared" si="12"/>
        <v>497</v>
      </c>
      <c r="I258">
        <f t="shared" si="13"/>
        <v>561.61</v>
      </c>
      <c r="J258">
        <f t="shared" si="14"/>
        <v>64.610000000000014</v>
      </c>
      <c r="K258" t="str">
        <v>Dettol Antiseptic Liquid</v>
      </c>
      <c r="L258" t="str">
        <f t="shared" si="15"/>
        <v>Sep</v>
      </c>
      <c r="M258" t="str">
        <v>Personal Care</v>
      </c>
    </row>
    <row r="259" spans="1:13" x14ac:dyDescent="0.35">
      <c r="A259" s="8">
        <v>45549</v>
      </c>
      <c r="B259" t="s">
        <v>52</v>
      </c>
      <c r="C259">
        <v>14</v>
      </c>
      <c r="D259" t="s">
        <v>10</v>
      </c>
      <c r="E259" t="s">
        <v>11</v>
      </c>
      <c r="F259">
        <f>VLOOKUP(B259,Catalogue!$A$1:$F$51,5,FALSE)</f>
        <v>63</v>
      </c>
      <c r="G259">
        <f>VLOOKUP(B259,Catalogue!$A$1:$F$51,6,FALSE)</f>
        <v>71.819999999999993</v>
      </c>
      <c r="H259">
        <f t="shared" ref="H259:H322" si="16">C259*F259</f>
        <v>882</v>
      </c>
      <c r="I259">
        <f t="shared" ref="I259:I322" si="17">C259*G259</f>
        <v>1005.4799999999999</v>
      </c>
      <c r="J259">
        <f t="shared" ref="J259:J322" si="18">I259-H259</f>
        <v>123.4799999999999</v>
      </c>
      <c r="K259" t="str">
        <v>Himalaya Face Wash</v>
      </c>
      <c r="L259" t="str">
        <f t="shared" ref="L259:L322" si="19">TEXT(A259,"mmm")</f>
        <v>Sep</v>
      </c>
      <c r="M259" t="str">
        <v>Personal Care</v>
      </c>
    </row>
    <row r="260" spans="1:13" x14ac:dyDescent="0.35">
      <c r="A260" s="8">
        <v>45550</v>
      </c>
      <c r="B260" t="s">
        <v>18</v>
      </c>
      <c r="C260">
        <v>18</v>
      </c>
      <c r="D260" t="s">
        <v>10</v>
      </c>
      <c r="E260" t="s">
        <v>12</v>
      </c>
      <c r="F260">
        <f>VLOOKUP(B260,Catalogue!$A$1:$F$51,5,FALSE)</f>
        <v>105</v>
      </c>
      <c r="G260">
        <f>VLOOKUP(B260,Catalogue!$A$1:$F$51,6,FALSE)</f>
        <v>117.6</v>
      </c>
      <c r="H260">
        <f t="shared" si="16"/>
        <v>1890</v>
      </c>
      <c r="I260">
        <f t="shared" si="17"/>
        <v>2116.7999999999997</v>
      </c>
      <c r="J260">
        <f t="shared" si="18"/>
        <v>226.79999999999973</v>
      </c>
      <c r="K260" t="str">
        <v>Vaseline Lip Care</v>
      </c>
      <c r="L260" t="str">
        <f t="shared" si="19"/>
        <v>Sep</v>
      </c>
      <c r="M260" t="str">
        <v>Personal Care</v>
      </c>
    </row>
    <row r="261" spans="1:13" x14ac:dyDescent="0.35">
      <c r="A261" s="8">
        <v>45551</v>
      </c>
      <c r="B261" t="s">
        <v>58</v>
      </c>
      <c r="C261">
        <v>20</v>
      </c>
      <c r="D261" t="s">
        <v>11</v>
      </c>
      <c r="E261" t="s">
        <v>12</v>
      </c>
      <c r="F261">
        <f>VLOOKUP(B261,Catalogue!$A$1:$F$51,5,FALSE)</f>
        <v>105</v>
      </c>
      <c r="G261">
        <f>VLOOKUP(B261,Catalogue!$A$1:$F$51,6,FALSE)</f>
        <v>148.05000000000001</v>
      </c>
      <c r="H261">
        <f t="shared" si="16"/>
        <v>2100</v>
      </c>
      <c r="I261">
        <f t="shared" si="17"/>
        <v>2961</v>
      </c>
      <c r="J261">
        <f t="shared" si="18"/>
        <v>861</v>
      </c>
      <c r="K261" t="str">
        <v>Johnson’s Baby Powder</v>
      </c>
      <c r="L261" t="str">
        <f t="shared" si="19"/>
        <v>Sep</v>
      </c>
      <c r="M261" t="str">
        <v>Personal Care</v>
      </c>
    </row>
    <row r="262" spans="1:13" x14ac:dyDescent="0.35">
      <c r="A262" s="8">
        <v>45552</v>
      </c>
      <c r="B262" t="s">
        <v>128</v>
      </c>
      <c r="C262">
        <v>16</v>
      </c>
      <c r="D262" t="s">
        <v>10</v>
      </c>
      <c r="E262" t="s">
        <v>11</v>
      </c>
      <c r="F262">
        <f>VLOOKUP(B262,Catalogue!$A$1:$F$51,5,FALSE)</f>
        <v>98</v>
      </c>
      <c r="G262">
        <f>VLOOKUP(B262,Catalogue!$A$1:$F$51,6,FALSE)</f>
        <v>132.30000000000001</v>
      </c>
      <c r="H262">
        <f t="shared" si="16"/>
        <v>1568</v>
      </c>
      <c r="I262">
        <f t="shared" si="17"/>
        <v>2116.8000000000002</v>
      </c>
      <c r="J262">
        <f t="shared" si="18"/>
        <v>548.80000000000018</v>
      </c>
      <c r="K262" t="str">
        <v>Coca-Cola Can</v>
      </c>
      <c r="L262" t="str">
        <f t="shared" si="19"/>
        <v>Sep</v>
      </c>
      <c r="M262" t="str">
        <v>Beverages</v>
      </c>
    </row>
    <row r="263" spans="1:13" x14ac:dyDescent="0.35">
      <c r="A263" s="8">
        <v>45553</v>
      </c>
      <c r="B263" t="s">
        <v>122</v>
      </c>
      <c r="C263">
        <v>2</v>
      </c>
      <c r="D263" t="s">
        <v>10</v>
      </c>
      <c r="E263" t="s">
        <v>12</v>
      </c>
      <c r="F263">
        <f>VLOOKUP(B263,Catalogue!$A$1:$F$51,5,FALSE)</f>
        <v>12</v>
      </c>
      <c r="G263">
        <f>VLOOKUP(B263,Catalogue!$A$1:$F$51,6,FALSE)</f>
        <v>13.44</v>
      </c>
      <c r="H263">
        <f t="shared" si="16"/>
        <v>24</v>
      </c>
      <c r="I263">
        <f t="shared" si="17"/>
        <v>26.88</v>
      </c>
      <c r="J263">
        <f t="shared" si="18"/>
        <v>2.879999999999999</v>
      </c>
      <c r="K263" t="str">
        <v>Pepsi Bottle</v>
      </c>
      <c r="L263" t="str">
        <f t="shared" si="19"/>
        <v>Sep</v>
      </c>
      <c r="M263" t="str">
        <v>Beverages</v>
      </c>
    </row>
    <row r="264" spans="1:13" x14ac:dyDescent="0.35">
      <c r="A264" s="8">
        <v>45554</v>
      </c>
      <c r="B264" t="s">
        <v>131</v>
      </c>
      <c r="C264">
        <v>15</v>
      </c>
      <c r="D264" t="s">
        <v>11</v>
      </c>
      <c r="E264" t="s">
        <v>12</v>
      </c>
      <c r="F264">
        <f>VLOOKUP(B264,Catalogue!$A$1:$F$51,5,FALSE)</f>
        <v>105</v>
      </c>
      <c r="G264">
        <f>VLOOKUP(B264,Catalogue!$A$1:$F$51,6,FALSE)</f>
        <v>153.30000000000001</v>
      </c>
      <c r="H264">
        <f t="shared" si="16"/>
        <v>1575</v>
      </c>
      <c r="I264">
        <f t="shared" si="17"/>
        <v>2299.5</v>
      </c>
      <c r="J264">
        <f t="shared" si="18"/>
        <v>724.5</v>
      </c>
      <c r="K264" t="str">
        <v>Red Bull</v>
      </c>
      <c r="L264" t="str">
        <f t="shared" si="19"/>
        <v>Sep</v>
      </c>
      <c r="M264" t="str">
        <v>Beverages</v>
      </c>
    </row>
    <row r="265" spans="1:13" x14ac:dyDescent="0.35">
      <c r="A265" s="8">
        <v>45555</v>
      </c>
      <c r="B265" t="s">
        <v>33</v>
      </c>
      <c r="C265">
        <v>11</v>
      </c>
      <c r="D265" t="s">
        <v>13</v>
      </c>
      <c r="E265" t="s">
        <v>11</v>
      </c>
      <c r="F265">
        <f>VLOOKUP(B265,Catalogue!$A$1:$F$51,5,FALSE)</f>
        <v>10</v>
      </c>
      <c r="G265">
        <f>VLOOKUP(B265,Catalogue!$A$1:$F$51,6,FALSE)</f>
        <v>11.2</v>
      </c>
      <c r="H265">
        <f t="shared" si="16"/>
        <v>110</v>
      </c>
      <c r="I265">
        <f t="shared" si="17"/>
        <v>123.19999999999999</v>
      </c>
      <c r="J265">
        <f t="shared" si="18"/>
        <v>13.199999999999989</v>
      </c>
      <c r="K265" t="str">
        <v>Tropicana Orange Juice</v>
      </c>
      <c r="L265" t="str">
        <f t="shared" si="19"/>
        <v>Sep</v>
      </c>
      <c r="M265" t="str">
        <v>Beverages</v>
      </c>
    </row>
    <row r="266" spans="1:13" x14ac:dyDescent="0.35">
      <c r="A266" s="8">
        <v>45556</v>
      </c>
      <c r="B266" t="s">
        <v>159</v>
      </c>
      <c r="C266">
        <v>20</v>
      </c>
      <c r="D266" t="s">
        <v>13</v>
      </c>
      <c r="E266" t="s">
        <v>12</v>
      </c>
      <c r="F266">
        <f>VLOOKUP(B266,Catalogue!$A$1:$F$51,5,FALSE)</f>
        <v>136</v>
      </c>
      <c r="G266">
        <f>VLOOKUP(B266,Catalogue!$A$1:$F$51,6,FALSE)</f>
        <v>183.6</v>
      </c>
      <c r="H266">
        <f t="shared" si="16"/>
        <v>2720</v>
      </c>
      <c r="I266">
        <f t="shared" si="17"/>
        <v>3672</v>
      </c>
      <c r="J266">
        <f t="shared" si="18"/>
        <v>952</v>
      </c>
      <c r="K266" t="str">
        <v>Minute Maid Pulpy</v>
      </c>
      <c r="L266" t="str">
        <f t="shared" si="19"/>
        <v>Sep</v>
      </c>
      <c r="M266" t="str">
        <v>Beverages</v>
      </c>
    </row>
    <row r="267" spans="1:13" x14ac:dyDescent="0.35">
      <c r="A267" s="8">
        <v>45557</v>
      </c>
      <c r="B267" t="s">
        <v>36</v>
      </c>
      <c r="C267">
        <v>8</v>
      </c>
      <c r="D267" t="s">
        <v>11</v>
      </c>
      <c r="E267" t="s">
        <v>11</v>
      </c>
      <c r="F267">
        <f>VLOOKUP(B267,Catalogue!$A$1:$F$51,5,FALSE)</f>
        <v>16</v>
      </c>
      <c r="G267">
        <f>VLOOKUP(B267,Catalogue!$A$1:$F$51,6,FALSE)</f>
        <v>17.600000000000001</v>
      </c>
      <c r="H267">
        <f t="shared" si="16"/>
        <v>128</v>
      </c>
      <c r="I267">
        <f t="shared" si="17"/>
        <v>140.80000000000001</v>
      </c>
      <c r="J267">
        <f t="shared" si="18"/>
        <v>12.800000000000011</v>
      </c>
      <c r="K267" t="str">
        <v>Frooti Mango Drink</v>
      </c>
      <c r="L267" t="str">
        <f t="shared" si="19"/>
        <v>Sep</v>
      </c>
      <c r="M267" t="str">
        <v>Beverages</v>
      </c>
    </row>
    <row r="268" spans="1:13" x14ac:dyDescent="0.35">
      <c r="A268" s="8">
        <v>45558</v>
      </c>
      <c r="B268" t="s">
        <v>119</v>
      </c>
      <c r="C268">
        <v>10</v>
      </c>
      <c r="D268" t="s">
        <v>10</v>
      </c>
      <c r="E268" t="s">
        <v>12</v>
      </c>
      <c r="F268">
        <f>VLOOKUP(B268,Catalogue!$A$1:$F$51,5,FALSE)</f>
        <v>136</v>
      </c>
      <c r="G268">
        <f>VLOOKUP(B268,Catalogue!$A$1:$F$51,6,FALSE)</f>
        <v>224.4</v>
      </c>
      <c r="H268">
        <f t="shared" si="16"/>
        <v>1360</v>
      </c>
      <c r="I268">
        <f t="shared" si="17"/>
        <v>2244</v>
      </c>
      <c r="J268">
        <f t="shared" si="18"/>
        <v>884</v>
      </c>
      <c r="K268" t="str">
        <v>Nestlé Iced Tea</v>
      </c>
      <c r="L268" t="str">
        <f t="shared" si="19"/>
        <v>Sep</v>
      </c>
      <c r="M268" t="str">
        <v>Beverages</v>
      </c>
    </row>
    <row r="269" spans="1:13" x14ac:dyDescent="0.35">
      <c r="A269" s="8">
        <v>45559</v>
      </c>
      <c r="B269" t="s">
        <v>42</v>
      </c>
      <c r="C269">
        <v>11</v>
      </c>
      <c r="D269" t="s">
        <v>10</v>
      </c>
      <c r="E269" t="s">
        <v>11</v>
      </c>
      <c r="F269">
        <f>VLOOKUP(B269,Catalogue!$A$1:$F$51,5,FALSE)</f>
        <v>123</v>
      </c>
      <c r="G269">
        <f>VLOOKUP(B269,Catalogue!$A$1:$F$51,6,FALSE)</f>
        <v>179.58</v>
      </c>
      <c r="H269">
        <f t="shared" si="16"/>
        <v>1353</v>
      </c>
      <c r="I269">
        <f t="shared" si="17"/>
        <v>1975.38</v>
      </c>
      <c r="J269">
        <f t="shared" si="18"/>
        <v>622.38000000000011</v>
      </c>
      <c r="K269" t="str">
        <v>Real Mixed Fruit Juice</v>
      </c>
      <c r="L269" t="str">
        <f t="shared" si="19"/>
        <v>Sep</v>
      </c>
      <c r="M269" t="str">
        <v>Beverages</v>
      </c>
    </row>
    <row r="270" spans="1:13" x14ac:dyDescent="0.35">
      <c r="A270" s="8">
        <v>45560</v>
      </c>
      <c r="B270" t="s">
        <v>144</v>
      </c>
      <c r="C270">
        <v>3</v>
      </c>
      <c r="D270" t="s">
        <v>11</v>
      </c>
      <c r="E270" t="s">
        <v>12</v>
      </c>
      <c r="F270">
        <f>VLOOKUP(B270,Catalogue!$A$1:$F$51,5,FALSE)</f>
        <v>124</v>
      </c>
      <c r="G270">
        <f>VLOOKUP(B270,Catalogue!$A$1:$F$51,6,FALSE)</f>
        <v>140.12</v>
      </c>
      <c r="H270">
        <f t="shared" si="16"/>
        <v>372</v>
      </c>
      <c r="I270">
        <f t="shared" si="17"/>
        <v>420.36</v>
      </c>
      <c r="J270">
        <f t="shared" si="18"/>
        <v>48.360000000000014</v>
      </c>
      <c r="K270" t="str">
        <v>Amul Kool Flavored Milk</v>
      </c>
      <c r="L270" t="str">
        <f t="shared" si="19"/>
        <v>Sep</v>
      </c>
      <c r="M270" t="str">
        <v>Beverages</v>
      </c>
    </row>
    <row r="271" spans="1:13" x14ac:dyDescent="0.35">
      <c r="A271" s="8">
        <v>45561</v>
      </c>
      <c r="B271" t="s">
        <v>87</v>
      </c>
      <c r="C271">
        <v>12</v>
      </c>
      <c r="D271" t="s">
        <v>10</v>
      </c>
      <c r="E271" t="s">
        <v>12</v>
      </c>
      <c r="F271">
        <f>VLOOKUP(B271,Catalogue!$A$1:$F$51,5,FALSE)</f>
        <v>12</v>
      </c>
      <c r="G271">
        <f>VLOOKUP(B271,Catalogue!$A$1:$F$51,6,FALSE)</f>
        <v>16.920000000000002</v>
      </c>
      <c r="H271">
        <f t="shared" si="16"/>
        <v>144</v>
      </c>
      <c r="I271">
        <f t="shared" si="17"/>
        <v>203.04000000000002</v>
      </c>
      <c r="J271">
        <f t="shared" si="18"/>
        <v>59.04000000000002</v>
      </c>
      <c r="K271" t="str">
        <v>Paper Boat Aam Panna</v>
      </c>
      <c r="L271" t="str">
        <f t="shared" si="19"/>
        <v>Sep</v>
      </c>
      <c r="M271" t="str">
        <v>Beverages</v>
      </c>
    </row>
    <row r="272" spans="1:13" x14ac:dyDescent="0.35">
      <c r="A272" s="8">
        <v>45562</v>
      </c>
      <c r="B272" t="s">
        <v>64</v>
      </c>
      <c r="C272">
        <v>7</v>
      </c>
      <c r="D272" t="s">
        <v>10</v>
      </c>
      <c r="E272" t="s">
        <v>11</v>
      </c>
      <c r="F272">
        <f>VLOOKUP(B272,Catalogue!$A$1:$F$51,5,FALSE)</f>
        <v>71</v>
      </c>
      <c r="G272">
        <f>VLOOKUP(B272,Catalogue!$A$1:$F$51,6,FALSE)</f>
        <v>79.52</v>
      </c>
      <c r="H272">
        <f t="shared" si="16"/>
        <v>497</v>
      </c>
      <c r="I272">
        <f t="shared" si="17"/>
        <v>556.64</v>
      </c>
      <c r="J272">
        <f t="shared" si="18"/>
        <v>59.639999999999986</v>
      </c>
      <c r="K272" t="str">
        <v>Maggi Noodles</v>
      </c>
      <c r="L272" t="str">
        <f t="shared" si="19"/>
        <v>Sep</v>
      </c>
      <c r="M272" t="str">
        <v>Packaged Foods</v>
      </c>
    </row>
    <row r="273" spans="1:13" x14ac:dyDescent="0.35">
      <c r="A273" s="8">
        <v>45563</v>
      </c>
      <c r="B273" t="s">
        <v>39</v>
      </c>
      <c r="C273">
        <v>19</v>
      </c>
      <c r="D273" t="s">
        <v>11</v>
      </c>
      <c r="E273" t="s">
        <v>12</v>
      </c>
      <c r="F273">
        <f>VLOOKUP(B273,Catalogue!$A$1:$F$51,5,FALSE)</f>
        <v>10</v>
      </c>
      <c r="G273">
        <f>VLOOKUP(B273,Catalogue!$A$1:$F$51,6,FALSE)</f>
        <v>13.5</v>
      </c>
      <c r="H273">
        <f t="shared" si="16"/>
        <v>190</v>
      </c>
      <c r="I273">
        <f t="shared" si="17"/>
        <v>256.5</v>
      </c>
      <c r="J273">
        <f t="shared" si="18"/>
        <v>66.5</v>
      </c>
      <c r="K273" t="str">
        <v>Sunfeast Biscuits</v>
      </c>
      <c r="L273" t="str">
        <f t="shared" si="19"/>
        <v>Sep</v>
      </c>
      <c r="M273" t="str">
        <v>Packaged Foods</v>
      </c>
    </row>
    <row r="274" spans="1:13" x14ac:dyDescent="0.35">
      <c r="A274" s="8">
        <v>45564</v>
      </c>
      <c r="B274" t="s">
        <v>90</v>
      </c>
      <c r="C274">
        <v>17</v>
      </c>
      <c r="D274" t="s">
        <v>13</v>
      </c>
      <c r="E274" t="s">
        <v>12</v>
      </c>
      <c r="F274">
        <f>VLOOKUP(B274,Catalogue!$A$1:$F$51,5,FALSE)</f>
        <v>98</v>
      </c>
      <c r="G274">
        <f>VLOOKUP(B274,Catalogue!$A$1:$F$51,6,FALSE)</f>
        <v>161.69999999999999</v>
      </c>
      <c r="H274">
        <f t="shared" si="16"/>
        <v>1666</v>
      </c>
      <c r="I274">
        <f t="shared" si="17"/>
        <v>2748.8999999999996</v>
      </c>
      <c r="J274">
        <f t="shared" si="18"/>
        <v>1082.8999999999996</v>
      </c>
      <c r="K274" t="str">
        <v>Nestlé Cerelac</v>
      </c>
      <c r="L274" t="str">
        <f t="shared" si="19"/>
        <v>Sep</v>
      </c>
      <c r="M274" t="str">
        <v>Packaged Foods</v>
      </c>
    </row>
    <row r="275" spans="1:13" x14ac:dyDescent="0.35">
      <c r="A275" s="8">
        <v>45565</v>
      </c>
      <c r="B275" t="s">
        <v>21</v>
      </c>
      <c r="C275">
        <v>20</v>
      </c>
      <c r="D275" t="s">
        <v>13</v>
      </c>
      <c r="E275" t="s">
        <v>11</v>
      </c>
      <c r="F275">
        <f>VLOOKUP(B275,Catalogue!$A$1:$F$51,5,FALSE)</f>
        <v>44</v>
      </c>
      <c r="G275">
        <f>VLOOKUP(B275,Catalogue!$A$1:$F$51,6,FALSE)</f>
        <v>50.16</v>
      </c>
      <c r="H275">
        <f t="shared" si="16"/>
        <v>880</v>
      </c>
      <c r="I275">
        <f t="shared" si="17"/>
        <v>1003.1999999999999</v>
      </c>
      <c r="J275">
        <f t="shared" si="18"/>
        <v>123.19999999999993</v>
      </c>
      <c r="K275" t="str">
        <v>MTR Ready Curry</v>
      </c>
      <c r="L275" t="str">
        <f t="shared" si="19"/>
        <v>Sep</v>
      </c>
      <c r="M275" t="str">
        <v>Packaged Foods</v>
      </c>
    </row>
    <row r="276" spans="1:13" x14ac:dyDescent="0.35">
      <c r="A276" s="8">
        <v>45566</v>
      </c>
      <c r="B276" t="s">
        <v>141</v>
      </c>
      <c r="C276">
        <v>16</v>
      </c>
      <c r="D276" t="s">
        <v>11</v>
      </c>
      <c r="E276" t="s">
        <v>12</v>
      </c>
      <c r="F276">
        <f>VLOOKUP(B276,Catalogue!$A$1:$F$51,5,FALSE)</f>
        <v>133</v>
      </c>
      <c r="G276">
        <f>VLOOKUP(B276,Catalogue!$A$1:$F$51,6,FALSE)</f>
        <v>151.62</v>
      </c>
      <c r="H276">
        <f t="shared" si="16"/>
        <v>2128</v>
      </c>
      <c r="I276">
        <f t="shared" si="17"/>
        <v>2425.92</v>
      </c>
      <c r="J276">
        <f t="shared" si="18"/>
        <v>297.92000000000007</v>
      </c>
      <c r="K276" t="str">
        <v>Haldiram's Bhujia</v>
      </c>
      <c r="L276" t="str">
        <f t="shared" si="19"/>
        <v>Oct</v>
      </c>
      <c r="M276" t="str">
        <v>Packaged Foods</v>
      </c>
    </row>
    <row r="277" spans="1:13" x14ac:dyDescent="0.35">
      <c r="A277" s="8">
        <v>45567</v>
      </c>
      <c r="B277" t="s">
        <v>18</v>
      </c>
      <c r="C277">
        <v>11</v>
      </c>
      <c r="D277" t="s">
        <v>10</v>
      </c>
      <c r="E277" t="s">
        <v>11</v>
      </c>
      <c r="F277">
        <f>VLOOKUP(B277,Catalogue!$A$1:$F$51,5,FALSE)</f>
        <v>105</v>
      </c>
      <c r="G277">
        <f>VLOOKUP(B277,Catalogue!$A$1:$F$51,6,FALSE)</f>
        <v>117.6</v>
      </c>
      <c r="H277">
        <f t="shared" si="16"/>
        <v>1155</v>
      </c>
      <c r="I277">
        <f t="shared" si="17"/>
        <v>1293.5999999999999</v>
      </c>
      <c r="J277">
        <f t="shared" si="18"/>
        <v>138.59999999999991</v>
      </c>
      <c r="K277" t="str">
        <v>Lay's Chips</v>
      </c>
      <c r="L277" t="str">
        <f t="shared" si="19"/>
        <v>Oct</v>
      </c>
      <c r="M277" t="str">
        <v>Packaged Foods</v>
      </c>
    </row>
    <row r="278" spans="1:13" x14ac:dyDescent="0.35">
      <c r="A278" s="8">
        <v>45568</v>
      </c>
      <c r="B278" t="s">
        <v>162</v>
      </c>
      <c r="C278">
        <v>4</v>
      </c>
      <c r="D278" t="s">
        <v>10</v>
      </c>
      <c r="E278" t="s">
        <v>12</v>
      </c>
      <c r="F278">
        <f>VLOOKUP(B278,Catalogue!$A$1:$F$51,5,FALSE)</f>
        <v>12</v>
      </c>
      <c r="G278">
        <f>VLOOKUP(B278,Catalogue!$A$1:$F$51,6,FALSE)</f>
        <v>17.52</v>
      </c>
      <c r="H278">
        <f t="shared" si="16"/>
        <v>48</v>
      </c>
      <c r="I278">
        <f t="shared" si="17"/>
        <v>70.08</v>
      </c>
      <c r="J278">
        <f t="shared" si="18"/>
        <v>22.08</v>
      </c>
      <c r="K278" t="str">
        <v>Kellogg’s Corn Flakes</v>
      </c>
      <c r="L278" t="str">
        <f t="shared" si="19"/>
        <v>Oct</v>
      </c>
      <c r="M278" t="str">
        <v>Packaged Foods</v>
      </c>
    </row>
    <row r="279" spans="1:13" x14ac:dyDescent="0.35">
      <c r="A279" s="8">
        <v>45569</v>
      </c>
      <c r="B279" t="s">
        <v>64</v>
      </c>
      <c r="C279">
        <v>6</v>
      </c>
      <c r="D279" t="s">
        <v>11</v>
      </c>
      <c r="E279" t="s">
        <v>11</v>
      </c>
      <c r="F279">
        <f>VLOOKUP(B279,Catalogue!$A$1:$F$51,5,FALSE)</f>
        <v>71</v>
      </c>
      <c r="G279">
        <f>VLOOKUP(B279,Catalogue!$A$1:$F$51,6,FALSE)</f>
        <v>79.52</v>
      </c>
      <c r="H279">
        <f t="shared" si="16"/>
        <v>426</v>
      </c>
      <c r="I279">
        <f t="shared" si="17"/>
        <v>477.12</v>
      </c>
      <c r="J279">
        <f t="shared" si="18"/>
        <v>51.120000000000005</v>
      </c>
      <c r="K279" t="str">
        <v>Britannia Cake</v>
      </c>
      <c r="L279" t="str">
        <f t="shared" si="19"/>
        <v>Oct</v>
      </c>
      <c r="M279" t="str">
        <v>Packaged Foods</v>
      </c>
    </row>
    <row r="280" spans="1:13" x14ac:dyDescent="0.35">
      <c r="A280" s="8">
        <v>45570</v>
      </c>
      <c r="B280" t="s">
        <v>42</v>
      </c>
      <c r="C280">
        <v>16</v>
      </c>
      <c r="D280" t="s">
        <v>10</v>
      </c>
      <c r="E280" t="s">
        <v>12</v>
      </c>
      <c r="F280">
        <f>VLOOKUP(B280,Catalogue!$A$1:$F$51,5,FALSE)</f>
        <v>123</v>
      </c>
      <c r="G280">
        <f>VLOOKUP(B280,Catalogue!$A$1:$F$51,6,FALSE)</f>
        <v>179.58</v>
      </c>
      <c r="H280">
        <f t="shared" si="16"/>
        <v>1968</v>
      </c>
      <c r="I280">
        <f t="shared" si="17"/>
        <v>2873.28</v>
      </c>
      <c r="J280">
        <f t="shared" si="18"/>
        <v>905.2800000000002</v>
      </c>
      <c r="K280" t="str">
        <v>Yippee Noodles</v>
      </c>
      <c r="L280" t="str">
        <f t="shared" si="19"/>
        <v>Oct</v>
      </c>
      <c r="M280" t="str">
        <v>Packaged Foods</v>
      </c>
    </row>
    <row r="281" spans="1:13" x14ac:dyDescent="0.35">
      <c r="A281" s="8">
        <v>45571</v>
      </c>
      <c r="B281" t="s">
        <v>33</v>
      </c>
      <c r="C281">
        <v>2</v>
      </c>
      <c r="D281" t="s">
        <v>10</v>
      </c>
      <c r="E281" t="s">
        <v>12</v>
      </c>
      <c r="F281">
        <f>VLOOKUP(B281,Catalogue!$A$1:$F$51,5,FALSE)</f>
        <v>10</v>
      </c>
      <c r="G281">
        <f>VLOOKUP(B281,Catalogue!$A$1:$F$51,6,FALSE)</f>
        <v>11.2</v>
      </c>
      <c r="H281">
        <f t="shared" si="16"/>
        <v>20</v>
      </c>
      <c r="I281">
        <f t="shared" si="17"/>
        <v>22.4</v>
      </c>
      <c r="J281">
        <f t="shared" si="18"/>
        <v>2.3999999999999986</v>
      </c>
      <c r="K281" t="str">
        <v>Top Ramen</v>
      </c>
      <c r="L281" t="str">
        <f t="shared" si="19"/>
        <v>Oct</v>
      </c>
      <c r="M281" t="str">
        <v>Packaged Foods</v>
      </c>
    </row>
    <row r="282" spans="1:13" x14ac:dyDescent="0.35">
      <c r="A282" s="8">
        <v>45572</v>
      </c>
      <c r="B282" t="s">
        <v>14</v>
      </c>
      <c r="C282">
        <v>13</v>
      </c>
      <c r="D282" t="s">
        <v>11</v>
      </c>
      <c r="E282" t="s">
        <v>11</v>
      </c>
      <c r="F282">
        <f>VLOOKUP(B282,Catalogue!$A$1:$F$51,5,FALSE)</f>
        <v>98</v>
      </c>
      <c r="G282">
        <f>VLOOKUP(B282,Catalogue!$A$1:$F$51,6,FALSE)</f>
        <v>129.36000000000001</v>
      </c>
      <c r="H282">
        <f t="shared" si="16"/>
        <v>1274</v>
      </c>
      <c r="I282">
        <f t="shared" si="17"/>
        <v>1681.6800000000003</v>
      </c>
      <c r="J282">
        <f t="shared" si="18"/>
        <v>407.68000000000029</v>
      </c>
      <c r="K282" t="str">
        <v>Surf Excel Detergent</v>
      </c>
      <c r="L282" t="str">
        <f t="shared" si="19"/>
        <v>Oct</v>
      </c>
      <c r="M282" t="str">
        <v>Household Cleaning</v>
      </c>
    </row>
    <row r="283" spans="1:13" x14ac:dyDescent="0.35">
      <c r="A283" s="8">
        <v>45573</v>
      </c>
      <c r="B283" t="s">
        <v>64</v>
      </c>
      <c r="C283">
        <v>14</v>
      </c>
      <c r="D283" t="s">
        <v>13</v>
      </c>
      <c r="E283" t="s">
        <v>12</v>
      </c>
      <c r="F283">
        <f>VLOOKUP(B283,Catalogue!$A$1:$F$51,5,FALSE)</f>
        <v>71</v>
      </c>
      <c r="G283">
        <f>VLOOKUP(B283,Catalogue!$A$1:$F$51,6,FALSE)</f>
        <v>79.52</v>
      </c>
      <c r="H283">
        <f t="shared" si="16"/>
        <v>994</v>
      </c>
      <c r="I283">
        <f t="shared" si="17"/>
        <v>1113.28</v>
      </c>
      <c r="J283">
        <f t="shared" si="18"/>
        <v>119.27999999999997</v>
      </c>
      <c r="K283" t="str">
        <v>Vim Dishwash Bar</v>
      </c>
      <c r="L283" t="str">
        <f t="shared" si="19"/>
        <v>Oct</v>
      </c>
      <c r="M283" t="str">
        <v>Household Cleaning</v>
      </c>
    </row>
    <row r="284" spans="1:13" x14ac:dyDescent="0.35">
      <c r="A284" s="8">
        <v>45574</v>
      </c>
      <c r="B284" t="s">
        <v>45</v>
      </c>
      <c r="C284">
        <v>7</v>
      </c>
      <c r="D284" t="s">
        <v>13</v>
      </c>
      <c r="E284" t="s">
        <v>12</v>
      </c>
      <c r="F284">
        <f>VLOOKUP(B284,Catalogue!$A$1:$F$51,5,FALSE)</f>
        <v>136</v>
      </c>
      <c r="G284">
        <f>VLOOKUP(B284,Catalogue!$A$1:$F$51,6,FALSE)</f>
        <v>179.52</v>
      </c>
      <c r="H284">
        <f t="shared" si="16"/>
        <v>952</v>
      </c>
      <c r="I284">
        <f t="shared" si="17"/>
        <v>1256.6400000000001</v>
      </c>
      <c r="J284">
        <f t="shared" si="18"/>
        <v>304.6400000000001</v>
      </c>
      <c r="K284" t="str">
        <v>Harpic Toilet Cleaner</v>
      </c>
      <c r="L284" t="str">
        <f t="shared" si="19"/>
        <v>Oct</v>
      </c>
      <c r="M284" t="str">
        <v>Household Cleaning</v>
      </c>
    </row>
    <row r="285" spans="1:13" x14ac:dyDescent="0.35">
      <c r="A285" s="8">
        <v>45575</v>
      </c>
      <c r="B285" t="s">
        <v>87</v>
      </c>
      <c r="C285">
        <v>10</v>
      </c>
      <c r="D285" t="s">
        <v>11</v>
      </c>
      <c r="E285" t="s">
        <v>11</v>
      </c>
      <c r="F285">
        <f>VLOOKUP(B285,Catalogue!$A$1:$F$51,5,FALSE)</f>
        <v>12</v>
      </c>
      <c r="G285">
        <f>VLOOKUP(B285,Catalogue!$A$1:$F$51,6,FALSE)</f>
        <v>16.920000000000002</v>
      </c>
      <c r="H285">
        <f t="shared" si="16"/>
        <v>120</v>
      </c>
      <c r="I285">
        <f t="shared" si="17"/>
        <v>169.20000000000002</v>
      </c>
      <c r="J285">
        <f t="shared" si="18"/>
        <v>49.200000000000017</v>
      </c>
      <c r="K285" t="str">
        <v>Lizol Floor Cleaner</v>
      </c>
      <c r="L285" t="str">
        <f t="shared" si="19"/>
        <v>Oct</v>
      </c>
      <c r="M285" t="str">
        <v>Household Cleaning</v>
      </c>
    </row>
    <row r="286" spans="1:13" x14ac:dyDescent="0.35">
      <c r="A286" s="8">
        <v>45576</v>
      </c>
      <c r="B286" t="s">
        <v>24</v>
      </c>
      <c r="C286">
        <v>17</v>
      </c>
      <c r="D286" t="s">
        <v>10</v>
      </c>
      <c r="E286" t="s">
        <v>12</v>
      </c>
      <c r="F286">
        <f>VLOOKUP(B286,Catalogue!$A$1:$F$51,5,FALSE)</f>
        <v>71</v>
      </c>
      <c r="G286">
        <f>VLOOKUP(B286,Catalogue!$A$1:$F$51,6,FALSE)</f>
        <v>80.23</v>
      </c>
      <c r="H286">
        <f t="shared" si="16"/>
        <v>1207</v>
      </c>
      <c r="I286">
        <f t="shared" si="17"/>
        <v>1363.91</v>
      </c>
      <c r="J286">
        <f t="shared" si="18"/>
        <v>156.91000000000008</v>
      </c>
      <c r="K286" t="str">
        <v>Domex Disinfectant</v>
      </c>
      <c r="L286" t="str">
        <f t="shared" si="19"/>
        <v>Oct</v>
      </c>
      <c r="M286" t="str">
        <v>Household Cleaning</v>
      </c>
    </row>
    <row r="287" spans="1:13" x14ac:dyDescent="0.35">
      <c r="A287" s="8">
        <v>45577</v>
      </c>
      <c r="B287" t="s">
        <v>104</v>
      </c>
      <c r="C287">
        <v>17</v>
      </c>
      <c r="D287" t="s">
        <v>10</v>
      </c>
      <c r="E287" t="s">
        <v>11</v>
      </c>
      <c r="F287">
        <f>VLOOKUP(B287,Catalogue!$A$1:$F$51,5,FALSE)</f>
        <v>124</v>
      </c>
      <c r="G287">
        <f>VLOOKUP(B287,Catalogue!$A$1:$F$51,6,FALSE)</f>
        <v>163.68</v>
      </c>
      <c r="H287">
        <f t="shared" si="16"/>
        <v>2108</v>
      </c>
      <c r="I287">
        <f t="shared" si="17"/>
        <v>2782.56</v>
      </c>
      <c r="J287">
        <f t="shared" si="18"/>
        <v>674.56</v>
      </c>
      <c r="K287" t="str">
        <v>Rin Bar</v>
      </c>
      <c r="L287" t="str">
        <f t="shared" si="19"/>
        <v>Oct</v>
      </c>
      <c r="M287" t="str">
        <v>Household Cleaning</v>
      </c>
    </row>
    <row r="288" spans="1:13" x14ac:dyDescent="0.35">
      <c r="A288" s="8">
        <v>45578</v>
      </c>
      <c r="B288" t="s">
        <v>122</v>
      </c>
      <c r="C288">
        <v>20</v>
      </c>
      <c r="D288" t="s">
        <v>11</v>
      </c>
      <c r="E288" t="s">
        <v>12</v>
      </c>
      <c r="F288">
        <f>VLOOKUP(B288,Catalogue!$A$1:$F$51,5,FALSE)</f>
        <v>12</v>
      </c>
      <c r="G288">
        <f>VLOOKUP(B288,Catalogue!$A$1:$F$51,6,FALSE)</f>
        <v>13.44</v>
      </c>
      <c r="H288">
        <f t="shared" si="16"/>
        <v>240</v>
      </c>
      <c r="I288">
        <f t="shared" si="17"/>
        <v>268.8</v>
      </c>
      <c r="J288">
        <f t="shared" si="18"/>
        <v>28.800000000000011</v>
      </c>
      <c r="K288" t="str">
        <v>Scotch-Brite Scrub Pad</v>
      </c>
      <c r="L288" t="str">
        <f t="shared" si="19"/>
        <v>Oct</v>
      </c>
      <c r="M288" t="str">
        <v>Household Cleaning</v>
      </c>
    </row>
    <row r="289" spans="1:13" x14ac:dyDescent="0.35">
      <c r="A289" s="8">
        <v>45579</v>
      </c>
      <c r="B289" t="s">
        <v>55</v>
      </c>
      <c r="C289">
        <v>13</v>
      </c>
      <c r="D289" t="s">
        <v>10</v>
      </c>
      <c r="E289" t="s">
        <v>11</v>
      </c>
      <c r="F289">
        <f>VLOOKUP(B289,Catalogue!$A$1:$F$51,5,FALSE)</f>
        <v>98</v>
      </c>
      <c r="G289">
        <f>VLOOKUP(B289,Catalogue!$A$1:$F$51,6,FALSE)</f>
        <v>110.74</v>
      </c>
      <c r="H289">
        <f t="shared" si="16"/>
        <v>1274</v>
      </c>
      <c r="I289">
        <f t="shared" si="17"/>
        <v>1439.62</v>
      </c>
      <c r="J289">
        <f t="shared" si="18"/>
        <v>165.61999999999989</v>
      </c>
      <c r="K289" t="str">
        <v>Pril Dishwash Liquid</v>
      </c>
      <c r="L289" t="str">
        <f t="shared" si="19"/>
        <v>Oct</v>
      </c>
      <c r="M289" t="str">
        <v>Household Cleaning</v>
      </c>
    </row>
    <row r="290" spans="1:13" x14ac:dyDescent="0.35">
      <c r="A290" s="8">
        <v>45580</v>
      </c>
      <c r="B290" t="s">
        <v>78</v>
      </c>
      <c r="C290">
        <v>4</v>
      </c>
      <c r="D290" t="s">
        <v>10</v>
      </c>
      <c r="E290" t="s">
        <v>12</v>
      </c>
      <c r="F290">
        <f>VLOOKUP(B290,Catalogue!$A$1:$F$51,5,FALSE)</f>
        <v>10</v>
      </c>
      <c r="G290">
        <f>VLOOKUP(B290,Catalogue!$A$1:$F$51,6,FALSE)</f>
        <v>11.2</v>
      </c>
      <c r="H290">
        <f t="shared" si="16"/>
        <v>40</v>
      </c>
      <c r="I290">
        <f t="shared" si="17"/>
        <v>44.8</v>
      </c>
      <c r="J290">
        <f t="shared" si="18"/>
        <v>4.7999999999999972</v>
      </c>
      <c r="K290" t="str">
        <v>Exo Dishwash Bar</v>
      </c>
      <c r="L290" t="str">
        <f t="shared" si="19"/>
        <v>Oct</v>
      </c>
      <c r="M290" t="str">
        <v>Household Cleaning</v>
      </c>
    </row>
    <row r="291" spans="1:13" x14ac:dyDescent="0.35">
      <c r="A291" s="8">
        <v>45581</v>
      </c>
      <c r="B291" t="s">
        <v>74</v>
      </c>
      <c r="C291">
        <v>3</v>
      </c>
      <c r="D291" t="s">
        <v>11</v>
      </c>
      <c r="E291" t="s">
        <v>12</v>
      </c>
      <c r="F291">
        <f>VLOOKUP(B291,Catalogue!$A$1:$F$51,5,FALSE)</f>
        <v>16</v>
      </c>
      <c r="G291">
        <f>VLOOKUP(B291,Catalogue!$A$1:$F$51,6,FALSE)</f>
        <v>21.12</v>
      </c>
      <c r="H291">
        <f t="shared" si="16"/>
        <v>48</v>
      </c>
      <c r="I291">
        <f t="shared" si="17"/>
        <v>63.36</v>
      </c>
      <c r="J291">
        <f t="shared" si="18"/>
        <v>15.36</v>
      </c>
      <c r="K291" t="str">
        <v>Odonil Room Freshener</v>
      </c>
      <c r="L291" t="str">
        <f t="shared" si="19"/>
        <v>Oct</v>
      </c>
      <c r="M291" t="str">
        <v>Household Cleaning</v>
      </c>
    </row>
    <row r="292" spans="1:13" x14ac:dyDescent="0.35">
      <c r="A292" s="8">
        <v>45582</v>
      </c>
      <c r="B292" t="s">
        <v>159</v>
      </c>
      <c r="C292">
        <v>12</v>
      </c>
      <c r="D292" t="s">
        <v>13</v>
      </c>
      <c r="E292" t="s">
        <v>11</v>
      </c>
      <c r="F292">
        <f>VLOOKUP(B292,Catalogue!$A$1:$F$51,5,FALSE)</f>
        <v>136</v>
      </c>
      <c r="G292">
        <f>VLOOKUP(B292,Catalogue!$A$1:$F$51,6,FALSE)</f>
        <v>183.6</v>
      </c>
      <c r="H292">
        <f t="shared" si="16"/>
        <v>1632</v>
      </c>
      <c r="I292">
        <f t="shared" si="17"/>
        <v>2203.1999999999998</v>
      </c>
      <c r="J292">
        <f t="shared" si="18"/>
        <v>571.19999999999982</v>
      </c>
      <c r="K292" t="str">
        <v>Whisper Sanitary Pads</v>
      </c>
      <c r="L292" t="str">
        <f t="shared" si="19"/>
        <v>Oct</v>
      </c>
      <c r="M292" t="str">
        <v>Paper &amp; Essentials</v>
      </c>
    </row>
    <row r="293" spans="1:13" x14ac:dyDescent="0.35">
      <c r="A293" s="8">
        <v>45583</v>
      </c>
      <c r="B293" t="s">
        <v>64</v>
      </c>
      <c r="C293">
        <v>2</v>
      </c>
      <c r="D293" t="s">
        <v>13</v>
      </c>
      <c r="E293" t="s">
        <v>12</v>
      </c>
      <c r="F293">
        <f>VLOOKUP(B293,Catalogue!$A$1:$F$51,5,FALSE)</f>
        <v>71</v>
      </c>
      <c r="G293">
        <f>VLOOKUP(B293,Catalogue!$A$1:$F$51,6,FALSE)</f>
        <v>79.52</v>
      </c>
      <c r="H293">
        <f t="shared" si="16"/>
        <v>142</v>
      </c>
      <c r="I293">
        <f t="shared" si="17"/>
        <v>159.04</v>
      </c>
      <c r="J293">
        <f t="shared" si="18"/>
        <v>17.039999999999992</v>
      </c>
      <c r="K293" t="str">
        <v>Sofy Pantyliners</v>
      </c>
      <c r="L293" t="str">
        <f t="shared" si="19"/>
        <v>Oct</v>
      </c>
      <c r="M293" t="str">
        <v>Paper &amp; Essentials</v>
      </c>
    </row>
    <row r="294" spans="1:13" x14ac:dyDescent="0.35">
      <c r="A294" s="8">
        <v>45584</v>
      </c>
      <c r="B294" t="s">
        <v>96</v>
      </c>
      <c r="C294">
        <v>5</v>
      </c>
      <c r="D294" t="s">
        <v>11</v>
      </c>
      <c r="E294" t="s">
        <v>12</v>
      </c>
      <c r="F294">
        <f>VLOOKUP(B294,Catalogue!$A$1:$F$51,5,FALSE)</f>
        <v>44</v>
      </c>
      <c r="G294">
        <f>VLOOKUP(B294,Catalogue!$A$1:$F$51,6,FALSE)</f>
        <v>48.4</v>
      </c>
      <c r="H294">
        <f t="shared" si="16"/>
        <v>220</v>
      </c>
      <c r="I294">
        <f t="shared" si="17"/>
        <v>242</v>
      </c>
      <c r="J294">
        <f t="shared" si="18"/>
        <v>22</v>
      </c>
      <c r="K294" t="str">
        <v>Kleenex Tissue Box</v>
      </c>
      <c r="L294" t="str">
        <f t="shared" si="19"/>
        <v>Oct</v>
      </c>
      <c r="M294" t="str">
        <v>Paper &amp; Essentials</v>
      </c>
    </row>
    <row r="295" spans="1:13" x14ac:dyDescent="0.35">
      <c r="A295" s="8">
        <v>45585</v>
      </c>
      <c r="B295" t="s">
        <v>108</v>
      </c>
      <c r="C295">
        <v>13</v>
      </c>
      <c r="D295" t="s">
        <v>10</v>
      </c>
      <c r="E295" t="s">
        <v>11</v>
      </c>
      <c r="F295">
        <f>VLOOKUP(B295,Catalogue!$A$1:$F$51,5,FALSE)</f>
        <v>10</v>
      </c>
      <c r="G295">
        <f>VLOOKUP(B295,Catalogue!$A$1:$F$51,6,FALSE)</f>
        <v>11.2</v>
      </c>
      <c r="H295">
        <f t="shared" si="16"/>
        <v>130</v>
      </c>
      <c r="I295">
        <f t="shared" si="17"/>
        <v>145.6</v>
      </c>
      <c r="J295">
        <f t="shared" si="18"/>
        <v>15.599999999999994</v>
      </c>
      <c r="K295" t="str">
        <v>Origami Kitchen Towels</v>
      </c>
      <c r="L295" t="str">
        <f t="shared" si="19"/>
        <v>Oct</v>
      </c>
      <c r="M295" t="str">
        <v>Paper &amp; Essentials</v>
      </c>
    </row>
    <row r="296" spans="1:13" x14ac:dyDescent="0.35">
      <c r="A296" s="8">
        <v>45586</v>
      </c>
      <c r="B296" t="s">
        <v>138</v>
      </c>
      <c r="C296">
        <v>18</v>
      </c>
      <c r="D296" t="s">
        <v>10</v>
      </c>
      <c r="E296" t="s">
        <v>12</v>
      </c>
      <c r="F296">
        <f>VLOOKUP(B296,Catalogue!$A$1:$F$51,5,FALSE)</f>
        <v>71</v>
      </c>
      <c r="G296">
        <f>VLOOKUP(B296,Catalogue!$A$1:$F$51,6,FALSE)</f>
        <v>79.52</v>
      </c>
      <c r="H296">
        <f t="shared" si="16"/>
        <v>1278</v>
      </c>
      <c r="I296">
        <f t="shared" si="17"/>
        <v>1431.36</v>
      </c>
      <c r="J296">
        <f t="shared" si="18"/>
        <v>153.3599999999999</v>
      </c>
      <c r="K296" t="str">
        <v>Stayfree Ultra</v>
      </c>
      <c r="L296" t="str">
        <f t="shared" si="19"/>
        <v>Oct</v>
      </c>
      <c r="M296" t="str">
        <v>Paper &amp; Essentials</v>
      </c>
    </row>
    <row r="297" spans="1:13" x14ac:dyDescent="0.35">
      <c r="A297" s="8">
        <v>45587</v>
      </c>
      <c r="B297" t="s">
        <v>134</v>
      </c>
      <c r="C297">
        <v>7</v>
      </c>
      <c r="D297" t="s">
        <v>11</v>
      </c>
      <c r="E297" t="s">
        <v>11</v>
      </c>
      <c r="F297">
        <f>VLOOKUP(B297,Catalogue!$A$1:$F$51,5,FALSE)</f>
        <v>44</v>
      </c>
      <c r="G297">
        <f>VLOOKUP(B297,Catalogue!$A$1:$F$51,6,FALSE)</f>
        <v>58.08</v>
      </c>
      <c r="H297">
        <f t="shared" si="16"/>
        <v>308</v>
      </c>
      <c r="I297">
        <f t="shared" si="17"/>
        <v>406.56</v>
      </c>
      <c r="J297">
        <f t="shared" si="18"/>
        <v>98.56</v>
      </c>
      <c r="K297" t="str">
        <v>Scott Toilet Paper</v>
      </c>
      <c r="L297" t="str">
        <f t="shared" si="19"/>
        <v>Oct</v>
      </c>
      <c r="M297" t="str">
        <v>Paper &amp; Essentials</v>
      </c>
    </row>
    <row r="298" spans="1:13" x14ac:dyDescent="0.35">
      <c r="A298" s="8">
        <v>45588</v>
      </c>
      <c r="B298" t="s">
        <v>61</v>
      </c>
      <c r="C298">
        <v>4</v>
      </c>
      <c r="D298" t="s">
        <v>10</v>
      </c>
      <c r="E298" t="s">
        <v>12</v>
      </c>
      <c r="F298">
        <f>VLOOKUP(B298,Catalogue!$A$1:$F$51,5,FALSE)</f>
        <v>44</v>
      </c>
      <c r="G298">
        <f>VLOOKUP(B298,Catalogue!$A$1:$F$51,6,FALSE)</f>
        <v>72.599999999999994</v>
      </c>
      <c r="H298">
        <f t="shared" si="16"/>
        <v>176</v>
      </c>
      <c r="I298">
        <f t="shared" si="17"/>
        <v>290.39999999999998</v>
      </c>
      <c r="J298">
        <f t="shared" si="18"/>
        <v>114.39999999999998</v>
      </c>
      <c r="K298" t="str">
        <v>Bella Napkins</v>
      </c>
      <c r="L298" t="str">
        <f t="shared" si="19"/>
        <v>Oct</v>
      </c>
      <c r="M298" t="str">
        <v>Paper &amp; Essentials</v>
      </c>
    </row>
    <row r="299" spans="1:13" x14ac:dyDescent="0.35">
      <c r="A299" s="8">
        <v>45589</v>
      </c>
      <c r="B299" t="s">
        <v>27</v>
      </c>
      <c r="C299">
        <v>1</v>
      </c>
      <c r="D299" t="s">
        <v>10</v>
      </c>
      <c r="E299" t="s">
        <v>11</v>
      </c>
      <c r="F299">
        <f>VLOOKUP(B299,Catalogue!$A$1:$F$51,5,FALSE)</f>
        <v>133</v>
      </c>
      <c r="G299">
        <f>VLOOKUP(B299,Catalogue!$A$1:$F$51,6,FALSE)</f>
        <v>187.53</v>
      </c>
      <c r="H299">
        <f t="shared" si="16"/>
        <v>133</v>
      </c>
      <c r="I299">
        <f t="shared" si="17"/>
        <v>187.53</v>
      </c>
      <c r="J299">
        <f t="shared" si="18"/>
        <v>54.53</v>
      </c>
      <c r="K299" t="str">
        <v>Everteen Wipes</v>
      </c>
      <c r="L299" t="str">
        <f t="shared" si="19"/>
        <v>Oct</v>
      </c>
      <c r="M299" t="str">
        <v>Paper &amp; Essentials</v>
      </c>
    </row>
    <row r="300" spans="1:13" x14ac:dyDescent="0.35">
      <c r="A300" s="8">
        <v>45590</v>
      </c>
      <c r="B300" t="s">
        <v>156</v>
      </c>
      <c r="C300">
        <v>6</v>
      </c>
      <c r="D300" t="s">
        <v>11</v>
      </c>
      <c r="E300" t="s">
        <v>12</v>
      </c>
      <c r="F300">
        <f>VLOOKUP(B300,Catalogue!$A$1:$F$51,5,FALSE)</f>
        <v>123</v>
      </c>
      <c r="G300">
        <f>VLOOKUP(B300,Catalogue!$A$1:$F$51,6,FALSE)</f>
        <v>135.30000000000001</v>
      </c>
      <c r="H300">
        <f t="shared" si="16"/>
        <v>738</v>
      </c>
      <c r="I300">
        <f t="shared" si="17"/>
        <v>811.80000000000007</v>
      </c>
      <c r="J300">
        <f t="shared" si="18"/>
        <v>73.800000000000068</v>
      </c>
      <c r="K300" t="str">
        <v>Premier Facial Tissues</v>
      </c>
      <c r="L300" t="str">
        <f t="shared" si="19"/>
        <v>Oct</v>
      </c>
      <c r="M300" t="str">
        <v>Paper &amp; Essentials</v>
      </c>
    </row>
    <row r="301" spans="1:13" x14ac:dyDescent="0.35">
      <c r="A301" s="8">
        <v>45591</v>
      </c>
      <c r="B301" t="s">
        <v>119</v>
      </c>
      <c r="C301">
        <v>16</v>
      </c>
      <c r="D301" t="s">
        <v>13</v>
      </c>
      <c r="E301" t="s">
        <v>12</v>
      </c>
      <c r="F301">
        <f>VLOOKUP(B301,Catalogue!$A$1:$F$51,5,FALSE)</f>
        <v>136</v>
      </c>
      <c r="G301">
        <f>VLOOKUP(B301,Catalogue!$A$1:$F$51,6,FALSE)</f>
        <v>224.4</v>
      </c>
      <c r="H301">
        <f t="shared" si="16"/>
        <v>2176</v>
      </c>
      <c r="I301">
        <f t="shared" si="17"/>
        <v>3590.4</v>
      </c>
      <c r="J301">
        <f t="shared" si="18"/>
        <v>1414.4</v>
      </c>
      <c r="K301" t="str">
        <v>Wet Wipes - Himalaya</v>
      </c>
      <c r="L301" t="str">
        <f t="shared" si="19"/>
        <v>Oct</v>
      </c>
      <c r="M301" t="str">
        <v>Paper &amp; Essentials</v>
      </c>
    </row>
    <row r="302" spans="1:13" x14ac:dyDescent="0.35">
      <c r="A302" s="8">
        <v>45592</v>
      </c>
      <c r="B302" t="s">
        <v>36</v>
      </c>
      <c r="C302">
        <v>3</v>
      </c>
      <c r="D302" t="s">
        <v>13</v>
      </c>
      <c r="E302" t="s">
        <v>11</v>
      </c>
      <c r="F302">
        <f>VLOOKUP(B302,Catalogue!$A$1:$F$51,5,FALSE)</f>
        <v>16</v>
      </c>
      <c r="G302">
        <f>VLOOKUP(B302,Catalogue!$A$1:$F$51,6,FALSE)</f>
        <v>17.600000000000001</v>
      </c>
      <c r="H302">
        <f t="shared" si="16"/>
        <v>48</v>
      </c>
      <c r="I302">
        <f t="shared" si="17"/>
        <v>52.800000000000004</v>
      </c>
      <c r="J302">
        <f t="shared" si="18"/>
        <v>4.8000000000000043</v>
      </c>
      <c r="K302" t="str" cm="1">
        <f t="array" ref="K302:K351">Catalogue!B2:B51</f>
        <v>Dove Soap</v>
      </c>
      <c r="L302" t="str">
        <f t="shared" si="19"/>
        <v>Oct</v>
      </c>
      <c r="M302" t="str" cm="1">
        <f t="array" ref="M302:M351">Catalogue!C2:C51</f>
        <v>Personal Care</v>
      </c>
    </row>
    <row r="303" spans="1:13" x14ac:dyDescent="0.35">
      <c r="A303" s="8">
        <v>45593</v>
      </c>
      <c r="B303" t="s">
        <v>14</v>
      </c>
      <c r="C303">
        <v>16</v>
      </c>
      <c r="D303" t="s">
        <v>11</v>
      </c>
      <c r="E303" t="s">
        <v>12</v>
      </c>
      <c r="F303">
        <f>VLOOKUP(B303,Catalogue!$A$1:$F$51,5,FALSE)</f>
        <v>98</v>
      </c>
      <c r="G303">
        <f>VLOOKUP(B303,Catalogue!$A$1:$F$51,6,FALSE)</f>
        <v>129.36000000000001</v>
      </c>
      <c r="H303">
        <f t="shared" si="16"/>
        <v>1568</v>
      </c>
      <c r="I303">
        <f t="shared" si="17"/>
        <v>2069.7600000000002</v>
      </c>
      <c r="J303">
        <f t="shared" si="18"/>
        <v>501.76000000000022</v>
      </c>
      <c r="K303" t="str">
        <v>Colgate Toothpaste</v>
      </c>
      <c r="L303" t="str">
        <f t="shared" si="19"/>
        <v>Oct</v>
      </c>
      <c r="M303" t="str">
        <v>Personal Care</v>
      </c>
    </row>
    <row r="304" spans="1:13" x14ac:dyDescent="0.35">
      <c r="A304" s="8">
        <v>45594</v>
      </c>
      <c r="B304" t="s">
        <v>69</v>
      </c>
      <c r="C304">
        <v>2</v>
      </c>
      <c r="D304" t="s">
        <v>10</v>
      </c>
      <c r="E304" t="s">
        <v>12</v>
      </c>
      <c r="F304">
        <f>VLOOKUP(B304,Catalogue!$A$1:$F$51,5,FALSE)</f>
        <v>124</v>
      </c>
      <c r="G304">
        <f>VLOOKUP(B304,Catalogue!$A$1:$F$51,6,FALSE)</f>
        <v>167.4</v>
      </c>
      <c r="H304">
        <f t="shared" si="16"/>
        <v>248</v>
      </c>
      <c r="I304">
        <f t="shared" si="17"/>
        <v>334.8</v>
      </c>
      <c r="J304">
        <f t="shared" si="18"/>
        <v>86.800000000000011</v>
      </c>
      <c r="K304" t="str">
        <v>Lifebuoy Handwash</v>
      </c>
      <c r="L304" t="str">
        <f t="shared" si="19"/>
        <v>Oct</v>
      </c>
      <c r="M304" t="str">
        <v>Personal Care</v>
      </c>
    </row>
    <row r="305" spans="1:13" x14ac:dyDescent="0.35">
      <c r="A305" s="8">
        <v>45595</v>
      </c>
      <c r="B305" t="s">
        <v>131</v>
      </c>
      <c r="C305">
        <v>19</v>
      </c>
      <c r="D305" t="s">
        <v>10</v>
      </c>
      <c r="E305" t="s">
        <v>11</v>
      </c>
      <c r="F305">
        <f>VLOOKUP(B305,Catalogue!$A$1:$F$51,5,FALSE)</f>
        <v>105</v>
      </c>
      <c r="G305">
        <f>VLOOKUP(B305,Catalogue!$A$1:$F$51,6,FALSE)</f>
        <v>153.30000000000001</v>
      </c>
      <c r="H305">
        <f t="shared" si="16"/>
        <v>1995</v>
      </c>
      <c r="I305">
        <f t="shared" si="17"/>
        <v>2912.7000000000003</v>
      </c>
      <c r="J305">
        <f t="shared" si="18"/>
        <v>917.70000000000027</v>
      </c>
      <c r="K305" t="str">
        <v>Nivea Body Lotion</v>
      </c>
      <c r="L305" t="str">
        <f t="shared" si="19"/>
        <v>Oct</v>
      </c>
      <c r="M305" t="str">
        <v>Personal Care</v>
      </c>
    </row>
    <row r="306" spans="1:13" x14ac:dyDescent="0.35">
      <c r="A306" s="8">
        <v>45596</v>
      </c>
      <c r="B306" t="s">
        <v>156</v>
      </c>
      <c r="C306">
        <v>19</v>
      </c>
      <c r="D306" t="s">
        <v>11</v>
      </c>
      <c r="E306" t="s">
        <v>12</v>
      </c>
      <c r="F306">
        <f>VLOOKUP(B306,Catalogue!$A$1:$F$51,5,FALSE)</f>
        <v>123</v>
      </c>
      <c r="G306">
        <f>VLOOKUP(B306,Catalogue!$A$1:$F$51,6,FALSE)</f>
        <v>135.30000000000001</v>
      </c>
      <c r="H306">
        <f t="shared" si="16"/>
        <v>2337</v>
      </c>
      <c r="I306">
        <f t="shared" si="17"/>
        <v>2570.7000000000003</v>
      </c>
      <c r="J306">
        <f t="shared" si="18"/>
        <v>233.70000000000027</v>
      </c>
      <c r="K306" t="str">
        <v>Gillette Shaving Foam</v>
      </c>
      <c r="L306" t="str">
        <f t="shared" si="19"/>
        <v>Oct</v>
      </c>
      <c r="M306" t="str">
        <v>Personal Care</v>
      </c>
    </row>
    <row r="307" spans="1:13" x14ac:dyDescent="0.35">
      <c r="A307" s="8">
        <v>45597</v>
      </c>
      <c r="B307" t="s">
        <v>84</v>
      </c>
      <c r="C307">
        <v>11</v>
      </c>
      <c r="D307" t="s">
        <v>10</v>
      </c>
      <c r="E307" t="s">
        <v>11</v>
      </c>
      <c r="F307">
        <f>VLOOKUP(B307,Catalogue!$A$1:$F$51,5,FALSE)</f>
        <v>136</v>
      </c>
      <c r="G307">
        <f>VLOOKUP(B307,Catalogue!$A$1:$F$51,6,FALSE)</f>
        <v>153.68</v>
      </c>
      <c r="H307">
        <f t="shared" si="16"/>
        <v>1496</v>
      </c>
      <c r="I307">
        <f t="shared" si="17"/>
        <v>1690.48</v>
      </c>
      <c r="J307">
        <f t="shared" si="18"/>
        <v>194.48000000000002</v>
      </c>
      <c r="K307" t="str">
        <v>Pantene Shampoo</v>
      </c>
      <c r="L307" t="str">
        <f t="shared" si="19"/>
        <v>Nov</v>
      </c>
      <c r="M307" t="str">
        <v>Personal Care</v>
      </c>
    </row>
    <row r="308" spans="1:13" x14ac:dyDescent="0.35">
      <c r="A308" s="8">
        <v>45598</v>
      </c>
      <c r="B308" t="s">
        <v>71</v>
      </c>
      <c r="C308">
        <v>3</v>
      </c>
      <c r="D308" t="s">
        <v>10</v>
      </c>
      <c r="E308" t="s">
        <v>12</v>
      </c>
      <c r="F308">
        <f>VLOOKUP(B308,Catalogue!$A$1:$F$51,5,FALSE)</f>
        <v>10</v>
      </c>
      <c r="G308">
        <f>VLOOKUP(B308,Catalogue!$A$1:$F$51,6,FALSE)</f>
        <v>14.600000000000001</v>
      </c>
      <c r="H308">
        <f t="shared" si="16"/>
        <v>30</v>
      </c>
      <c r="I308">
        <f t="shared" si="17"/>
        <v>43.800000000000004</v>
      </c>
      <c r="J308">
        <f t="shared" si="18"/>
        <v>13.800000000000004</v>
      </c>
      <c r="K308" t="str">
        <v>Dettol Antiseptic Liquid</v>
      </c>
      <c r="L308" t="str">
        <f t="shared" si="19"/>
        <v>Nov</v>
      </c>
      <c r="M308" t="str">
        <v>Personal Care</v>
      </c>
    </row>
    <row r="309" spans="1:13" x14ac:dyDescent="0.35">
      <c r="A309" s="8">
        <v>45599</v>
      </c>
      <c r="B309" t="s">
        <v>144</v>
      </c>
      <c r="C309">
        <v>10</v>
      </c>
      <c r="D309" t="s">
        <v>11</v>
      </c>
      <c r="E309" t="s">
        <v>11</v>
      </c>
      <c r="F309">
        <f>VLOOKUP(B309,Catalogue!$A$1:$F$51,5,FALSE)</f>
        <v>124</v>
      </c>
      <c r="G309">
        <f>VLOOKUP(B309,Catalogue!$A$1:$F$51,6,FALSE)</f>
        <v>140.12</v>
      </c>
      <c r="H309">
        <f t="shared" si="16"/>
        <v>1240</v>
      </c>
      <c r="I309">
        <f t="shared" si="17"/>
        <v>1401.2</v>
      </c>
      <c r="J309">
        <f t="shared" si="18"/>
        <v>161.20000000000005</v>
      </c>
      <c r="K309" t="str">
        <v>Himalaya Face Wash</v>
      </c>
      <c r="L309" t="str">
        <f t="shared" si="19"/>
        <v>Nov</v>
      </c>
      <c r="M309" t="str">
        <v>Personal Care</v>
      </c>
    </row>
    <row r="310" spans="1:13" x14ac:dyDescent="0.35">
      <c r="A310" s="8">
        <v>45600</v>
      </c>
      <c r="B310" t="s">
        <v>125</v>
      </c>
      <c r="C310">
        <v>19</v>
      </c>
      <c r="D310" t="s">
        <v>13</v>
      </c>
      <c r="E310" t="s">
        <v>12</v>
      </c>
      <c r="F310">
        <f>VLOOKUP(B310,Catalogue!$A$1:$F$51,5,FALSE)</f>
        <v>63</v>
      </c>
      <c r="G310">
        <f>VLOOKUP(B310,Catalogue!$A$1:$F$51,6,FALSE)</f>
        <v>69.3</v>
      </c>
      <c r="H310">
        <f t="shared" si="16"/>
        <v>1197</v>
      </c>
      <c r="I310">
        <f t="shared" si="17"/>
        <v>1316.7</v>
      </c>
      <c r="J310">
        <f t="shared" si="18"/>
        <v>119.70000000000005</v>
      </c>
      <c r="K310" t="str">
        <v>Vaseline Lip Care</v>
      </c>
      <c r="L310" t="str">
        <f t="shared" si="19"/>
        <v>Nov</v>
      </c>
      <c r="M310" t="str">
        <v>Personal Care</v>
      </c>
    </row>
    <row r="311" spans="1:13" x14ac:dyDescent="0.35">
      <c r="A311" s="8">
        <v>45601</v>
      </c>
      <c r="B311" t="s">
        <v>67</v>
      </c>
      <c r="C311">
        <v>14</v>
      </c>
      <c r="D311" t="s">
        <v>13</v>
      </c>
      <c r="E311" t="s">
        <v>12</v>
      </c>
      <c r="F311">
        <f>VLOOKUP(B311,Catalogue!$A$1:$F$51,5,FALSE)</f>
        <v>133</v>
      </c>
      <c r="G311">
        <f>VLOOKUP(B311,Catalogue!$A$1:$F$51,6,FALSE)</f>
        <v>146.30000000000001</v>
      </c>
      <c r="H311">
        <f t="shared" si="16"/>
        <v>1862</v>
      </c>
      <c r="I311">
        <f t="shared" si="17"/>
        <v>2048.2000000000003</v>
      </c>
      <c r="J311">
        <f t="shared" si="18"/>
        <v>186.20000000000027</v>
      </c>
      <c r="K311" t="str">
        <v>Johnson’s Baby Powder</v>
      </c>
      <c r="L311" t="str">
        <f t="shared" si="19"/>
        <v>Nov</v>
      </c>
      <c r="M311" t="str">
        <v>Personal Care</v>
      </c>
    </row>
    <row r="312" spans="1:13" x14ac:dyDescent="0.35">
      <c r="A312" s="8">
        <v>45602</v>
      </c>
      <c r="B312" t="s">
        <v>18</v>
      </c>
      <c r="C312">
        <v>17</v>
      </c>
      <c r="D312" t="s">
        <v>11</v>
      </c>
      <c r="E312" t="s">
        <v>11</v>
      </c>
      <c r="F312">
        <f>VLOOKUP(B312,Catalogue!$A$1:$F$51,5,FALSE)</f>
        <v>105</v>
      </c>
      <c r="G312">
        <f>VLOOKUP(B312,Catalogue!$A$1:$F$51,6,FALSE)</f>
        <v>117.6</v>
      </c>
      <c r="H312">
        <f t="shared" si="16"/>
        <v>1785</v>
      </c>
      <c r="I312">
        <f t="shared" si="17"/>
        <v>1999.1999999999998</v>
      </c>
      <c r="J312">
        <f t="shared" si="18"/>
        <v>214.19999999999982</v>
      </c>
      <c r="K312" t="str">
        <v>Coca-Cola Can</v>
      </c>
      <c r="L312" t="str">
        <f t="shared" si="19"/>
        <v>Nov</v>
      </c>
      <c r="M312" t="str">
        <v>Beverages</v>
      </c>
    </row>
    <row r="313" spans="1:13" x14ac:dyDescent="0.35">
      <c r="A313" s="8">
        <v>45603</v>
      </c>
      <c r="B313" t="s">
        <v>125</v>
      </c>
      <c r="C313">
        <v>1</v>
      </c>
      <c r="D313" t="s">
        <v>10</v>
      </c>
      <c r="E313" t="s">
        <v>12</v>
      </c>
      <c r="F313">
        <f>VLOOKUP(B313,Catalogue!$A$1:$F$51,5,FALSE)</f>
        <v>63</v>
      </c>
      <c r="G313">
        <f>VLOOKUP(B313,Catalogue!$A$1:$F$51,6,FALSE)</f>
        <v>69.3</v>
      </c>
      <c r="H313">
        <f t="shared" si="16"/>
        <v>63</v>
      </c>
      <c r="I313">
        <f t="shared" si="17"/>
        <v>69.3</v>
      </c>
      <c r="J313">
        <f t="shared" si="18"/>
        <v>6.2999999999999972</v>
      </c>
      <c r="K313" t="str">
        <v>Pepsi Bottle</v>
      </c>
      <c r="L313" t="str">
        <f t="shared" si="19"/>
        <v>Nov</v>
      </c>
      <c r="M313" t="str">
        <v>Beverages</v>
      </c>
    </row>
    <row r="314" spans="1:13" x14ac:dyDescent="0.35">
      <c r="A314" s="8">
        <v>45604</v>
      </c>
      <c r="B314" t="s">
        <v>58</v>
      </c>
      <c r="C314">
        <v>12</v>
      </c>
      <c r="D314" t="s">
        <v>10</v>
      </c>
      <c r="E314" t="s">
        <v>12</v>
      </c>
      <c r="F314">
        <f>VLOOKUP(B314,Catalogue!$A$1:$F$51,5,FALSE)</f>
        <v>105</v>
      </c>
      <c r="G314">
        <f>VLOOKUP(B314,Catalogue!$A$1:$F$51,6,FALSE)</f>
        <v>148.05000000000001</v>
      </c>
      <c r="H314">
        <f t="shared" si="16"/>
        <v>1260</v>
      </c>
      <c r="I314">
        <f t="shared" si="17"/>
        <v>1776.6000000000001</v>
      </c>
      <c r="J314">
        <f t="shared" si="18"/>
        <v>516.60000000000014</v>
      </c>
      <c r="K314" t="str">
        <v>Red Bull</v>
      </c>
      <c r="L314" t="str">
        <f t="shared" si="19"/>
        <v>Nov</v>
      </c>
      <c r="M314" t="str">
        <v>Beverages</v>
      </c>
    </row>
    <row r="315" spans="1:13" x14ac:dyDescent="0.35">
      <c r="A315" s="8">
        <v>45605</v>
      </c>
      <c r="B315" t="s">
        <v>36</v>
      </c>
      <c r="C315">
        <v>4</v>
      </c>
      <c r="D315" t="s">
        <v>11</v>
      </c>
      <c r="E315" t="s">
        <v>11</v>
      </c>
      <c r="F315">
        <f>VLOOKUP(B315,Catalogue!$A$1:$F$51,5,FALSE)</f>
        <v>16</v>
      </c>
      <c r="G315">
        <f>VLOOKUP(B315,Catalogue!$A$1:$F$51,6,FALSE)</f>
        <v>17.600000000000001</v>
      </c>
      <c r="H315">
        <f t="shared" si="16"/>
        <v>64</v>
      </c>
      <c r="I315">
        <f t="shared" si="17"/>
        <v>70.400000000000006</v>
      </c>
      <c r="J315">
        <f t="shared" si="18"/>
        <v>6.4000000000000057</v>
      </c>
      <c r="K315" t="str">
        <v>Tropicana Orange Juice</v>
      </c>
      <c r="L315" t="str">
        <f t="shared" si="19"/>
        <v>Nov</v>
      </c>
      <c r="M315" t="str">
        <v>Beverages</v>
      </c>
    </row>
    <row r="316" spans="1:13" x14ac:dyDescent="0.35">
      <c r="A316" s="8">
        <v>45606</v>
      </c>
      <c r="B316" t="s">
        <v>36</v>
      </c>
      <c r="C316">
        <v>14</v>
      </c>
      <c r="D316" t="s">
        <v>10</v>
      </c>
      <c r="E316" t="s">
        <v>12</v>
      </c>
      <c r="F316">
        <f>VLOOKUP(B316,Catalogue!$A$1:$F$51,5,FALSE)</f>
        <v>16</v>
      </c>
      <c r="G316">
        <f>VLOOKUP(B316,Catalogue!$A$1:$F$51,6,FALSE)</f>
        <v>17.600000000000001</v>
      </c>
      <c r="H316">
        <f t="shared" si="16"/>
        <v>224</v>
      </c>
      <c r="I316">
        <f t="shared" si="17"/>
        <v>246.40000000000003</v>
      </c>
      <c r="J316">
        <f t="shared" si="18"/>
        <v>22.400000000000034</v>
      </c>
      <c r="K316" t="str">
        <v>Minute Maid Pulpy</v>
      </c>
      <c r="L316" t="str">
        <f t="shared" si="19"/>
        <v>Nov</v>
      </c>
      <c r="M316" t="str">
        <v>Beverages</v>
      </c>
    </row>
    <row r="317" spans="1:13" x14ac:dyDescent="0.35">
      <c r="A317" s="8">
        <v>45607</v>
      </c>
      <c r="B317" t="s">
        <v>131</v>
      </c>
      <c r="C317">
        <v>10</v>
      </c>
      <c r="D317" t="s">
        <v>10</v>
      </c>
      <c r="E317" t="s">
        <v>11</v>
      </c>
      <c r="F317">
        <f>VLOOKUP(B317,Catalogue!$A$1:$F$51,5,FALSE)</f>
        <v>105</v>
      </c>
      <c r="G317">
        <f>VLOOKUP(B317,Catalogue!$A$1:$F$51,6,FALSE)</f>
        <v>153.30000000000001</v>
      </c>
      <c r="H317">
        <f t="shared" si="16"/>
        <v>1050</v>
      </c>
      <c r="I317">
        <f t="shared" si="17"/>
        <v>1533</v>
      </c>
      <c r="J317">
        <f t="shared" si="18"/>
        <v>483</v>
      </c>
      <c r="K317" t="str">
        <v>Frooti Mango Drink</v>
      </c>
      <c r="L317" t="str">
        <f t="shared" si="19"/>
        <v>Nov</v>
      </c>
      <c r="M317" t="str">
        <v>Beverages</v>
      </c>
    </row>
    <row r="318" spans="1:13" x14ac:dyDescent="0.35">
      <c r="A318" s="8">
        <v>45608</v>
      </c>
      <c r="B318" t="s">
        <v>104</v>
      </c>
      <c r="C318">
        <v>12</v>
      </c>
      <c r="D318" t="s">
        <v>11</v>
      </c>
      <c r="E318" t="s">
        <v>12</v>
      </c>
      <c r="F318">
        <f>VLOOKUP(B318,Catalogue!$A$1:$F$51,5,FALSE)</f>
        <v>124</v>
      </c>
      <c r="G318">
        <f>VLOOKUP(B318,Catalogue!$A$1:$F$51,6,FALSE)</f>
        <v>163.68</v>
      </c>
      <c r="H318">
        <f t="shared" si="16"/>
        <v>1488</v>
      </c>
      <c r="I318">
        <f t="shared" si="17"/>
        <v>1964.16</v>
      </c>
      <c r="J318">
        <f t="shared" si="18"/>
        <v>476.16000000000008</v>
      </c>
      <c r="K318" t="str">
        <v>Nestlé Iced Tea</v>
      </c>
      <c r="L318" t="str">
        <f t="shared" si="19"/>
        <v>Nov</v>
      </c>
      <c r="M318" t="str">
        <v>Beverages</v>
      </c>
    </row>
    <row r="319" spans="1:13" x14ac:dyDescent="0.35">
      <c r="A319" s="8">
        <v>45609</v>
      </c>
      <c r="B319" t="s">
        <v>69</v>
      </c>
      <c r="C319">
        <v>12</v>
      </c>
      <c r="D319" t="s">
        <v>13</v>
      </c>
      <c r="E319" t="s">
        <v>11</v>
      </c>
      <c r="F319">
        <f>VLOOKUP(B319,Catalogue!$A$1:$F$51,5,FALSE)</f>
        <v>124</v>
      </c>
      <c r="G319">
        <f>VLOOKUP(B319,Catalogue!$A$1:$F$51,6,FALSE)</f>
        <v>167.4</v>
      </c>
      <c r="H319">
        <f t="shared" si="16"/>
        <v>1488</v>
      </c>
      <c r="I319">
        <f t="shared" si="17"/>
        <v>2008.8000000000002</v>
      </c>
      <c r="J319">
        <f t="shared" si="18"/>
        <v>520.80000000000018</v>
      </c>
      <c r="K319" t="str">
        <v>Real Mixed Fruit Juice</v>
      </c>
      <c r="L319" t="str">
        <f t="shared" si="19"/>
        <v>Nov</v>
      </c>
      <c r="M319" t="str">
        <v>Beverages</v>
      </c>
    </row>
    <row r="320" spans="1:13" x14ac:dyDescent="0.35">
      <c r="A320" s="8">
        <v>45610</v>
      </c>
      <c r="B320" t="s">
        <v>61</v>
      </c>
      <c r="C320">
        <v>8</v>
      </c>
      <c r="D320" t="s">
        <v>13</v>
      </c>
      <c r="E320" t="s">
        <v>12</v>
      </c>
      <c r="F320">
        <f>VLOOKUP(B320,Catalogue!$A$1:$F$51,5,FALSE)</f>
        <v>44</v>
      </c>
      <c r="G320">
        <f>VLOOKUP(B320,Catalogue!$A$1:$F$51,6,FALSE)</f>
        <v>72.599999999999994</v>
      </c>
      <c r="H320">
        <f t="shared" si="16"/>
        <v>352</v>
      </c>
      <c r="I320">
        <f t="shared" si="17"/>
        <v>580.79999999999995</v>
      </c>
      <c r="J320">
        <f t="shared" si="18"/>
        <v>228.79999999999995</v>
      </c>
      <c r="K320" t="str">
        <v>Amul Kool Flavored Milk</v>
      </c>
      <c r="L320" t="str">
        <f t="shared" si="19"/>
        <v>Nov</v>
      </c>
      <c r="M320" t="str">
        <v>Beverages</v>
      </c>
    </row>
    <row r="321" spans="1:13" x14ac:dyDescent="0.35">
      <c r="A321" s="8">
        <v>45611</v>
      </c>
      <c r="B321" t="s">
        <v>58</v>
      </c>
      <c r="C321">
        <v>19</v>
      </c>
      <c r="D321" t="s">
        <v>11</v>
      </c>
      <c r="E321" t="s">
        <v>12</v>
      </c>
      <c r="F321">
        <f>VLOOKUP(B321,Catalogue!$A$1:$F$51,5,FALSE)</f>
        <v>105</v>
      </c>
      <c r="G321">
        <f>VLOOKUP(B321,Catalogue!$A$1:$F$51,6,FALSE)</f>
        <v>148.05000000000001</v>
      </c>
      <c r="H321">
        <f t="shared" si="16"/>
        <v>1995</v>
      </c>
      <c r="I321">
        <f t="shared" si="17"/>
        <v>2812.9500000000003</v>
      </c>
      <c r="J321">
        <f t="shared" si="18"/>
        <v>817.95000000000027</v>
      </c>
      <c r="K321" t="str">
        <v>Paper Boat Aam Panna</v>
      </c>
      <c r="L321" t="str">
        <f t="shared" si="19"/>
        <v>Nov</v>
      </c>
      <c r="M321" t="str">
        <v>Beverages</v>
      </c>
    </row>
    <row r="322" spans="1:13" x14ac:dyDescent="0.35">
      <c r="A322" s="8">
        <v>45612</v>
      </c>
      <c r="B322" t="s">
        <v>18</v>
      </c>
      <c r="C322">
        <v>3</v>
      </c>
      <c r="D322" t="s">
        <v>10</v>
      </c>
      <c r="E322" t="s">
        <v>11</v>
      </c>
      <c r="F322">
        <f>VLOOKUP(B322,Catalogue!$A$1:$F$51,5,FALSE)</f>
        <v>105</v>
      </c>
      <c r="G322">
        <f>VLOOKUP(B322,Catalogue!$A$1:$F$51,6,FALSE)</f>
        <v>117.6</v>
      </c>
      <c r="H322">
        <f t="shared" si="16"/>
        <v>315</v>
      </c>
      <c r="I322">
        <f t="shared" si="17"/>
        <v>352.79999999999995</v>
      </c>
      <c r="J322">
        <f t="shared" si="18"/>
        <v>37.799999999999955</v>
      </c>
      <c r="K322" t="str">
        <v>Maggi Noodles</v>
      </c>
      <c r="L322" t="str">
        <f t="shared" si="19"/>
        <v>Nov</v>
      </c>
      <c r="M322" t="str">
        <v>Packaged Foods</v>
      </c>
    </row>
    <row r="323" spans="1:13" x14ac:dyDescent="0.35">
      <c r="A323" s="8">
        <v>45613</v>
      </c>
      <c r="B323" t="s">
        <v>30</v>
      </c>
      <c r="C323">
        <v>4</v>
      </c>
      <c r="D323" t="s">
        <v>10</v>
      </c>
      <c r="E323" t="s">
        <v>12</v>
      </c>
      <c r="F323">
        <f>VLOOKUP(B323,Catalogue!$A$1:$F$51,5,FALSE)</f>
        <v>124</v>
      </c>
      <c r="G323">
        <f>VLOOKUP(B323,Catalogue!$A$1:$F$51,6,FALSE)</f>
        <v>204.60000000000002</v>
      </c>
      <c r="H323">
        <f t="shared" ref="H323:H386" si="20">C323*F323</f>
        <v>496</v>
      </c>
      <c r="I323">
        <f t="shared" ref="I323:I386" si="21">C323*G323</f>
        <v>818.40000000000009</v>
      </c>
      <c r="J323">
        <f t="shared" ref="J323:J386" si="22">I323-H323</f>
        <v>322.40000000000009</v>
      </c>
      <c r="K323" t="str">
        <v>Sunfeast Biscuits</v>
      </c>
      <c r="L323" t="str">
        <f t="shared" ref="L323:L386" si="23">TEXT(A323,"mmm")</f>
        <v>Nov</v>
      </c>
      <c r="M323" t="str">
        <v>Packaged Foods</v>
      </c>
    </row>
    <row r="324" spans="1:13" x14ac:dyDescent="0.35">
      <c r="A324" s="8">
        <v>45614</v>
      </c>
      <c r="B324" t="s">
        <v>21</v>
      </c>
      <c r="C324">
        <v>13</v>
      </c>
      <c r="D324" t="s">
        <v>11</v>
      </c>
      <c r="E324" t="s">
        <v>12</v>
      </c>
      <c r="F324">
        <f>VLOOKUP(B324,Catalogue!$A$1:$F$51,5,FALSE)</f>
        <v>44</v>
      </c>
      <c r="G324">
        <f>VLOOKUP(B324,Catalogue!$A$1:$F$51,6,FALSE)</f>
        <v>50.16</v>
      </c>
      <c r="H324">
        <f t="shared" si="20"/>
        <v>572</v>
      </c>
      <c r="I324">
        <f t="shared" si="21"/>
        <v>652.07999999999993</v>
      </c>
      <c r="J324">
        <f t="shared" si="22"/>
        <v>80.079999999999927</v>
      </c>
      <c r="K324" t="str">
        <v>Nestlé Cerelac</v>
      </c>
      <c r="L324" t="str">
        <f t="shared" si="23"/>
        <v>Nov</v>
      </c>
      <c r="M324" t="str">
        <v>Packaged Foods</v>
      </c>
    </row>
    <row r="325" spans="1:13" x14ac:dyDescent="0.35">
      <c r="A325" s="8">
        <v>45615</v>
      </c>
      <c r="B325" t="s">
        <v>81</v>
      </c>
      <c r="C325">
        <v>18</v>
      </c>
      <c r="D325" t="s">
        <v>10</v>
      </c>
      <c r="E325" t="s">
        <v>11</v>
      </c>
      <c r="F325">
        <f>VLOOKUP(B325,Catalogue!$A$1:$F$51,5,FALSE)</f>
        <v>123</v>
      </c>
      <c r="G325">
        <f>VLOOKUP(B325,Catalogue!$A$1:$F$51,6,FALSE)</f>
        <v>140.22</v>
      </c>
      <c r="H325">
        <f t="shared" si="20"/>
        <v>2214</v>
      </c>
      <c r="I325">
        <f t="shared" si="21"/>
        <v>2523.96</v>
      </c>
      <c r="J325">
        <f t="shared" si="22"/>
        <v>309.96000000000004</v>
      </c>
      <c r="K325" t="str">
        <v>MTR Ready Curry</v>
      </c>
      <c r="L325" t="str">
        <f t="shared" si="23"/>
        <v>Nov</v>
      </c>
      <c r="M325" t="str">
        <v>Packaged Foods</v>
      </c>
    </row>
    <row r="326" spans="1:13" x14ac:dyDescent="0.35">
      <c r="A326" s="8">
        <v>45616</v>
      </c>
      <c r="B326" t="s">
        <v>33</v>
      </c>
      <c r="C326">
        <v>20</v>
      </c>
      <c r="D326" t="s">
        <v>10</v>
      </c>
      <c r="E326" t="s">
        <v>12</v>
      </c>
      <c r="F326">
        <f>VLOOKUP(B326,Catalogue!$A$1:$F$51,5,FALSE)</f>
        <v>10</v>
      </c>
      <c r="G326">
        <f>VLOOKUP(B326,Catalogue!$A$1:$F$51,6,FALSE)</f>
        <v>11.2</v>
      </c>
      <c r="H326">
        <f t="shared" si="20"/>
        <v>200</v>
      </c>
      <c r="I326">
        <f t="shared" si="21"/>
        <v>224</v>
      </c>
      <c r="J326">
        <f t="shared" si="22"/>
        <v>24</v>
      </c>
      <c r="K326" t="str">
        <v>Haldiram's Bhujia</v>
      </c>
      <c r="L326" t="str">
        <f t="shared" si="23"/>
        <v>Nov</v>
      </c>
      <c r="M326" t="str">
        <v>Packaged Foods</v>
      </c>
    </row>
    <row r="327" spans="1:13" x14ac:dyDescent="0.35">
      <c r="A327" s="8">
        <v>45617</v>
      </c>
      <c r="B327" t="s">
        <v>147</v>
      </c>
      <c r="C327">
        <v>17</v>
      </c>
      <c r="D327" t="s">
        <v>11</v>
      </c>
      <c r="E327" t="s">
        <v>11</v>
      </c>
      <c r="F327">
        <f>VLOOKUP(B327,Catalogue!$A$1:$F$51,5,FALSE)</f>
        <v>10</v>
      </c>
      <c r="G327">
        <f>VLOOKUP(B327,Catalogue!$A$1:$F$51,6,FALSE)</f>
        <v>14.100000000000001</v>
      </c>
      <c r="H327">
        <f t="shared" si="20"/>
        <v>170</v>
      </c>
      <c r="I327">
        <f t="shared" si="21"/>
        <v>239.70000000000002</v>
      </c>
      <c r="J327">
        <f t="shared" si="22"/>
        <v>69.700000000000017</v>
      </c>
      <c r="K327" t="str">
        <v>Lay's Chips</v>
      </c>
      <c r="L327" t="str">
        <f t="shared" si="23"/>
        <v>Nov</v>
      </c>
      <c r="M327" t="str">
        <v>Packaged Foods</v>
      </c>
    </row>
    <row r="328" spans="1:13" x14ac:dyDescent="0.35">
      <c r="A328" s="8">
        <v>45618</v>
      </c>
      <c r="B328" t="s">
        <v>116</v>
      </c>
      <c r="C328">
        <v>5</v>
      </c>
      <c r="D328" t="s">
        <v>13</v>
      </c>
      <c r="E328" t="s">
        <v>12</v>
      </c>
      <c r="F328">
        <f>VLOOKUP(B328,Catalogue!$A$1:$F$51,5,FALSE)</f>
        <v>123</v>
      </c>
      <c r="G328">
        <f>VLOOKUP(B328,Catalogue!$A$1:$F$51,6,FALSE)</f>
        <v>173.43</v>
      </c>
      <c r="H328">
        <f t="shared" si="20"/>
        <v>615</v>
      </c>
      <c r="I328">
        <f t="shared" si="21"/>
        <v>867.15000000000009</v>
      </c>
      <c r="J328">
        <f t="shared" si="22"/>
        <v>252.15000000000009</v>
      </c>
      <c r="K328" t="str">
        <v>Kellogg’s Corn Flakes</v>
      </c>
      <c r="L328" t="str">
        <f t="shared" si="23"/>
        <v>Nov</v>
      </c>
      <c r="M328" t="str">
        <v>Packaged Foods</v>
      </c>
    </row>
    <row r="329" spans="1:13" x14ac:dyDescent="0.35">
      <c r="A329" s="8">
        <v>45619</v>
      </c>
      <c r="B329" t="s">
        <v>99</v>
      </c>
      <c r="C329">
        <v>4</v>
      </c>
      <c r="D329" t="s">
        <v>13</v>
      </c>
      <c r="E329" t="s">
        <v>11</v>
      </c>
      <c r="F329">
        <f>VLOOKUP(B329,Catalogue!$A$1:$F$51,5,FALSE)</f>
        <v>71</v>
      </c>
      <c r="G329">
        <f>VLOOKUP(B329,Catalogue!$A$1:$F$51,6,FALSE)</f>
        <v>95.85</v>
      </c>
      <c r="H329">
        <f t="shared" si="20"/>
        <v>284</v>
      </c>
      <c r="I329">
        <f t="shared" si="21"/>
        <v>383.4</v>
      </c>
      <c r="J329">
        <f t="shared" si="22"/>
        <v>99.399999999999977</v>
      </c>
      <c r="K329" t="str">
        <v>Britannia Cake</v>
      </c>
      <c r="L329" t="str">
        <f t="shared" si="23"/>
        <v>Nov</v>
      </c>
      <c r="M329" t="str">
        <v>Packaged Foods</v>
      </c>
    </row>
    <row r="330" spans="1:13" x14ac:dyDescent="0.35">
      <c r="A330" s="8">
        <v>45620</v>
      </c>
      <c r="B330" t="s">
        <v>33</v>
      </c>
      <c r="C330">
        <v>16</v>
      </c>
      <c r="D330" t="s">
        <v>11</v>
      </c>
      <c r="E330" t="s">
        <v>12</v>
      </c>
      <c r="F330">
        <f>VLOOKUP(B330,Catalogue!$A$1:$F$51,5,FALSE)</f>
        <v>10</v>
      </c>
      <c r="G330">
        <f>VLOOKUP(B330,Catalogue!$A$1:$F$51,6,FALSE)</f>
        <v>11.2</v>
      </c>
      <c r="H330">
        <f t="shared" si="20"/>
        <v>160</v>
      </c>
      <c r="I330">
        <f t="shared" si="21"/>
        <v>179.2</v>
      </c>
      <c r="J330">
        <f t="shared" si="22"/>
        <v>19.199999999999989</v>
      </c>
      <c r="K330" t="str">
        <v>Yippee Noodles</v>
      </c>
      <c r="L330" t="str">
        <f t="shared" si="23"/>
        <v>Nov</v>
      </c>
      <c r="M330" t="str">
        <v>Packaged Foods</v>
      </c>
    </row>
    <row r="331" spans="1:13" x14ac:dyDescent="0.35">
      <c r="A331" s="8">
        <v>45621</v>
      </c>
      <c r="B331" t="s">
        <v>147</v>
      </c>
      <c r="C331">
        <v>12</v>
      </c>
      <c r="D331" t="s">
        <v>10</v>
      </c>
      <c r="E331" t="s">
        <v>12</v>
      </c>
      <c r="F331">
        <f>VLOOKUP(B331,Catalogue!$A$1:$F$51,5,FALSE)</f>
        <v>10</v>
      </c>
      <c r="G331">
        <f>VLOOKUP(B331,Catalogue!$A$1:$F$51,6,FALSE)</f>
        <v>14.100000000000001</v>
      </c>
      <c r="H331">
        <f t="shared" si="20"/>
        <v>120</v>
      </c>
      <c r="I331">
        <f t="shared" si="21"/>
        <v>169.20000000000002</v>
      </c>
      <c r="J331">
        <f t="shared" si="22"/>
        <v>49.200000000000017</v>
      </c>
      <c r="K331" t="str">
        <v>Top Ramen</v>
      </c>
      <c r="L331" t="str">
        <f t="shared" si="23"/>
        <v>Nov</v>
      </c>
      <c r="M331" t="str">
        <v>Packaged Foods</v>
      </c>
    </row>
    <row r="332" spans="1:13" x14ac:dyDescent="0.35">
      <c r="A332" s="8">
        <v>45622</v>
      </c>
      <c r="B332" t="s">
        <v>128</v>
      </c>
      <c r="C332">
        <v>7</v>
      </c>
      <c r="D332" t="s">
        <v>10</v>
      </c>
      <c r="E332" t="s">
        <v>11</v>
      </c>
      <c r="F332">
        <f>VLOOKUP(B332,Catalogue!$A$1:$F$51,5,FALSE)</f>
        <v>98</v>
      </c>
      <c r="G332">
        <f>VLOOKUP(B332,Catalogue!$A$1:$F$51,6,FALSE)</f>
        <v>132.30000000000001</v>
      </c>
      <c r="H332">
        <f t="shared" si="20"/>
        <v>686</v>
      </c>
      <c r="I332">
        <f t="shared" si="21"/>
        <v>926.10000000000014</v>
      </c>
      <c r="J332">
        <f t="shared" si="22"/>
        <v>240.10000000000014</v>
      </c>
      <c r="K332" t="str">
        <v>Surf Excel Detergent</v>
      </c>
      <c r="L332" t="str">
        <f t="shared" si="23"/>
        <v>Nov</v>
      </c>
      <c r="M332" t="str">
        <v>Household Cleaning</v>
      </c>
    </row>
    <row r="333" spans="1:13" x14ac:dyDescent="0.35">
      <c r="A333" s="8">
        <v>45623</v>
      </c>
      <c r="B333" t="s">
        <v>49</v>
      </c>
      <c r="C333">
        <v>9</v>
      </c>
      <c r="D333" t="s">
        <v>11</v>
      </c>
      <c r="E333" t="s">
        <v>12</v>
      </c>
      <c r="F333">
        <f>VLOOKUP(B333,Catalogue!$A$1:$F$51,5,FALSE)</f>
        <v>12</v>
      </c>
      <c r="G333">
        <f>VLOOKUP(B333,Catalogue!$A$1:$F$51,6,FALSE)</f>
        <v>13.44</v>
      </c>
      <c r="H333">
        <f t="shared" si="20"/>
        <v>108</v>
      </c>
      <c r="I333">
        <f t="shared" si="21"/>
        <v>120.96</v>
      </c>
      <c r="J333">
        <f t="shared" si="22"/>
        <v>12.959999999999994</v>
      </c>
      <c r="K333" t="str">
        <v>Vim Dishwash Bar</v>
      </c>
      <c r="L333" t="str">
        <f t="shared" si="23"/>
        <v>Nov</v>
      </c>
      <c r="M333" t="str">
        <v>Household Cleaning</v>
      </c>
    </row>
    <row r="334" spans="1:13" x14ac:dyDescent="0.35">
      <c r="A334" s="8">
        <v>45624</v>
      </c>
      <c r="B334" t="s">
        <v>141</v>
      </c>
      <c r="C334">
        <v>17</v>
      </c>
      <c r="D334" t="s">
        <v>10</v>
      </c>
      <c r="E334" t="s">
        <v>12</v>
      </c>
      <c r="F334">
        <f>VLOOKUP(B334,Catalogue!$A$1:$F$51,5,FALSE)</f>
        <v>133</v>
      </c>
      <c r="G334">
        <f>VLOOKUP(B334,Catalogue!$A$1:$F$51,6,FALSE)</f>
        <v>151.62</v>
      </c>
      <c r="H334">
        <f t="shared" si="20"/>
        <v>2261</v>
      </c>
      <c r="I334">
        <f t="shared" si="21"/>
        <v>2577.54</v>
      </c>
      <c r="J334">
        <f t="shared" si="22"/>
        <v>316.53999999999996</v>
      </c>
      <c r="K334" t="str">
        <v>Harpic Toilet Cleaner</v>
      </c>
      <c r="L334" t="str">
        <f t="shared" si="23"/>
        <v>Nov</v>
      </c>
      <c r="M334" t="str">
        <v>Household Cleaning</v>
      </c>
    </row>
    <row r="335" spans="1:13" x14ac:dyDescent="0.35">
      <c r="A335" s="8">
        <v>45625</v>
      </c>
      <c r="B335" t="s">
        <v>96</v>
      </c>
      <c r="C335">
        <v>3</v>
      </c>
      <c r="D335" t="s">
        <v>10</v>
      </c>
      <c r="E335" t="s">
        <v>11</v>
      </c>
      <c r="F335">
        <f>VLOOKUP(B335,Catalogue!$A$1:$F$51,5,FALSE)</f>
        <v>44</v>
      </c>
      <c r="G335">
        <f>VLOOKUP(B335,Catalogue!$A$1:$F$51,6,FALSE)</f>
        <v>48.4</v>
      </c>
      <c r="H335">
        <f t="shared" si="20"/>
        <v>132</v>
      </c>
      <c r="I335">
        <f t="shared" si="21"/>
        <v>145.19999999999999</v>
      </c>
      <c r="J335">
        <f t="shared" si="22"/>
        <v>13.199999999999989</v>
      </c>
      <c r="K335" t="str">
        <v>Lizol Floor Cleaner</v>
      </c>
      <c r="L335" t="str">
        <f t="shared" si="23"/>
        <v>Nov</v>
      </c>
      <c r="M335" t="str">
        <v>Household Cleaning</v>
      </c>
    </row>
    <row r="336" spans="1:13" x14ac:dyDescent="0.35">
      <c r="A336" s="8">
        <v>45626</v>
      </c>
      <c r="B336" t="s">
        <v>67</v>
      </c>
      <c r="C336">
        <v>14</v>
      </c>
      <c r="D336" t="s">
        <v>11</v>
      </c>
      <c r="E336" t="s">
        <v>12</v>
      </c>
      <c r="F336">
        <f>VLOOKUP(B336,Catalogue!$A$1:$F$51,5,FALSE)</f>
        <v>133</v>
      </c>
      <c r="G336">
        <f>VLOOKUP(B336,Catalogue!$A$1:$F$51,6,FALSE)</f>
        <v>146.30000000000001</v>
      </c>
      <c r="H336">
        <f t="shared" si="20"/>
        <v>1862</v>
      </c>
      <c r="I336">
        <f t="shared" si="21"/>
        <v>2048.2000000000003</v>
      </c>
      <c r="J336">
        <f t="shared" si="22"/>
        <v>186.20000000000027</v>
      </c>
      <c r="K336" t="str">
        <v>Domex Disinfectant</v>
      </c>
      <c r="L336" t="str">
        <f t="shared" si="23"/>
        <v>Nov</v>
      </c>
      <c r="M336" t="str">
        <v>Household Cleaning</v>
      </c>
    </row>
    <row r="337" spans="1:13" x14ac:dyDescent="0.35">
      <c r="A337" s="8">
        <v>45627</v>
      </c>
      <c r="B337" t="s">
        <v>67</v>
      </c>
      <c r="C337">
        <v>6</v>
      </c>
      <c r="D337" t="s">
        <v>13</v>
      </c>
      <c r="E337" t="s">
        <v>11</v>
      </c>
      <c r="F337">
        <f>VLOOKUP(B337,Catalogue!$A$1:$F$51,5,FALSE)</f>
        <v>133</v>
      </c>
      <c r="G337">
        <f>VLOOKUP(B337,Catalogue!$A$1:$F$51,6,FALSE)</f>
        <v>146.30000000000001</v>
      </c>
      <c r="H337">
        <f t="shared" si="20"/>
        <v>798</v>
      </c>
      <c r="I337">
        <f t="shared" si="21"/>
        <v>877.80000000000007</v>
      </c>
      <c r="J337">
        <f t="shared" si="22"/>
        <v>79.800000000000068</v>
      </c>
      <c r="K337" t="str">
        <v>Rin Bar</v>
      </c>
      <c r="L337" t="str">
        <f t="shared" si="23"/>
        <v>Dec</v>
      </c>
      <c r="M337" t="str">
        <v>Household Cleaning</v>
      </c>
    </row>
    <row r="338" spans="1:13" x14ac:dyDescent="0.35">
      <c r="A338" s="8">
        <v>45628</v>
      </c>
      <c r="B338" t="s">
        <v>125</v>
      </c>
      <c r="C338">
        <v>10</v>
      </c>
      <c r="D338" t="s">
        <v>13</v>
      </c>
      <c r="E338" t="s">
        <v>12</v>
      </c>
      <c r="F338">
        <f>VLOOKUP(B338,Catalogue!$A$1:$F$51,5,FALSE)</f>
        <v>63</v>
      </c>
      <c r="G338">
        <f>VLOOKUP(B338,Catalogue!$A$1:$F$51,6,FALSE)</f>
        <v>69.3</v>
      </c>
      <c r="H338">
        <f t="shared" si="20"/>
        <v>630</v>
      </c>
      <c r="I338">
        <f t="shared" si="21"/>
        <v>693</v>
      </c>
      <c r="J338">
        <f t="shared" si="22"/>
        <v>63</v>
      </c>
      <c r="K338" t="str">
        <v>Scotch-Brite Scrub Pad</v>
      </c>
      <c r="L338" t="str">
        <f t="shared" si="23"/>
        <v>Dec</v>
      </c>
      <c r="M338" t="str">
        <v>Household Cleaning</v>
      </c>
    </row>
    <row r="339" spans="1:13" x14ac:dyDescent="0.35">
      <c r="A339" s="8">
        <v>45629</v>
      </c>
      <c r="B339" t="s">
        <v>125</v>
      </c>
      <c r="C339">
        <v>15</v>
      </c>
      <c r="D339" t="s">
        <v>11</v>
      </c>
      <c r="E339" t="s">
        <v>11</v>
      </c>
      <c r="F339">
        <f>VLOOKUP(B339,Catalogue!$A$1:$F$51,5,FALSE)</f>
        <v>63</v>
      </c>
      <c r="G339">
        <f>VLOOKUP(B339,Catalogue!$A$1:$F$51,6,FALSE)</f>
        <v>69.3</v>
      </c>
      <c r="H339">
        <f t="shared" si="20"/>
        <v>945</v>
      </c>
      <c r="I339">
        <f t="shared" si="21"/>
        <v>1039.5</v>
      </c>
      <c r="J339">
        <f t="shared" si="22"/>
        <v>94.5</v>
      </c>
      <c r="K339" t="str">
        <v>Pril Dishwash Liquid</v>
      </c>
      <c r="L339" t="str">
        <f t="shared" si="23"/>
        <v>Dec</v>
      </c>
      <c r="M339" t="str">
        <v>Household Cleaning</v>
      </c>
    </row>
    <row r="340" spans="1:13" x14ac:dyDescent="0.35">
      <c r="A340" s="8">
        <v>45630</v>
      </c>
      <c r="B340" t="s">
        <v>93</v>
      </c>
      <c r="C340">
        <v>14</v>
      </c>
      <c r="D340" t="s">
        <v>10</v>
      </c>
      <c r="E340" t="s">
        <v>12</v>
      </c>
      <c r="F340">
        <f>VLOOKUP(B340,Catalogue!$A$1:$F$51,5,FALSE)</f>
        <v>105</v>
      </c>
      <c r="G340">
        <f>VLOOKUP(B340,Catalogue!$A$1:$F$51,6,FALSE)</f>
        <v>117.6</v>
      </c>
      <c r="H340">
        <f t="shared" si="20"/>
        <v>1470</v>
      </c>
      <c r="I340">
        <f t="shared" si="21"/>
        <v>1646.3999999999999</v>
      </c>
      <c r="J340">
        <f t="shared" si="22"/>
        <v>176.39999999999986</v>
      </c>
      <c r="K340" t="str">
        <v>Exo Dishwash Bar</v>
      </c>
      <c r="L340" t="str">
        <f t="shared" si="23"/>
        <v>Dec</v>
      </c>
      <c r="M340" t="str">
        <v>Household Cleaning</v>
      </c>
    </row>
    <row r="341" spans="1:13" x14ac:dyDescent="0.35">
      <c r="A341" s="8">
        <v>45631</v>
      </c>
      <c r="B341" t="s">
        <v>144</v>
      </c>
      <c r="C341">
        <v>4</v>
      </c>
      <c r="D341" t="s">
        <v>10</v>
      </c>
      <c r="E341" t="s">
        <v>12</v>
      </c>
      <c r="F341">
        <f>VLOOKUP(B341,Catalogue!$A$1:$F$51,5,FALSE)</f>
        <v>124</v>
      </c>
      <c r="G341">
        <f>VLOOKUP(B341,Catalogue!$A$1:$F$51,6,FALSE)</f>
        <v>140.12</v>
      </c>
      <c r="H341">
        <f t="shared" si="20"/>
        <v>496</v>
      </c>
      <c r="I341">
        <f t="shared" si="21"/>
        <v>560.48</v>
      </c>
      <c r="J341">
        <f t="shared" si="22"/>
        <v>64.480000000000018</v>
      </c>
      <c r="K341" t="str">
        <v>Odonil Room Freshener</v>
      </c>
      <c r="L341" t="str">
        <f t="shared" si="23"/>
        <v>Dec</v>
      </c>
      <c r="M341" t="str">
        <v>Household Cleaning</v>
      </c>
    </row>
    <row r="342" spans="1:13" x14ac:dyDescent="0.35">
      <c r="A342" s="8">
        <v>45632</v>
      </c>
      <c r="B342" t="s">
        <v>36</v>
      </c>
      <c r="C342">
        <v>8</v>
      </c>
      <c r="D342" t="s">
        <v>11</v>
      </c>
      <c r="E342" t="s">
        <v>11</v>
      </c>
      <c r="F342">
        <f>VLOOKUP(B342,Catalogue!$A$1:$F$51,5,FALSE)</f>
        <v>16</v>
      </c>
      <c r="G342">
        <f>VLOOKUP(B342,Catalogue!$A$1:$F$51,6,FALSE)</f>
        <v>17.600000000000001</v>
      </c>
      <c r="H342">
        <f t="shared" si="20"/>
        <v>128</v>
      </c>
      <c r="I342">
        <f t="shared" si="21"/>
        <v>140.80000000000001</v>
      </c>
      <c r="J342">
        <f t="shared" si="22"/>
        <v>12.800000000000011</v>
      </c>
      <c r="K342" t="str">
        <v>Whisper Sanitary Pads</v>
      </c>
      <c r="L342" t="str">
        <f t="shared" si="23"/>
        <v>Dec</v>
      </c>
      <c r="M342" t="str">
        <v>Paper &amp; Essentials</v>
      </c>
    </row>
    <row r="343" spans="1:13" x14ac:dyDescent="0.35">
      <c r="A343" s="8">
        <v>45633</v>
      </c>
      <c r="B343" t="s">
        <v>150</v>
      </c>
      <c r="C343">
        <v>20</v>
      </c>
      <c r="D343" t="s">
        <v>10</v>
      </c>
      <c r="E343" t="s">
        <v>12</v>
      </c>
      <c r="F343">
        <f>VLOOKUP(B343,Catalogue!$A$1:$F$51,5,FALSE)</f>
        <v>16</v>
      </c>
      <c r="G343">
        <f>VLOOKUP(B343,Catalogue!$A$1:$F$51,6,FALSE)</f>
        <v>26.4</v>
      </c>
      <c r="H343">
        <f t="shared" si="20"/>
        <v>320</v>
      </c>
      <c r="I343">
        <f t="shared" si="21"/>
        <v>528</v>
      </c>
      <c r="J343">
        <f t="shared" si="22"/>
        <v>208</v>
      </c>
      <c r="K343" t="str">
        <v>Sofy Pantyliners</v>
      </c>
      <c r="L343" t="str">
        <f t="shared" si="23"/>
        <v>Dec</v>
      </c>
      <c r="M343" t="str">
        <v>Paper &amp; Essentials</v>
      </c>
    </row>
    <row r="344" spans="1:13" x14ac:dyDescent="0.35">
      <c r="A344" s="8">
        <v>45634</v>
      </c>
      <c r="B344" t="s">
        <v>67</v>
      </c>
      <c r="C344">
        <v>5</v>
      </c>
      <c r="D344" t="s">
        <v>10</v>
      </c>
      <c r="E344" t="s">
        <v>12</v>
      </c>
      <c r="F344">
        <f>VLOOKUP(B344,Catalogue!$A$1:$F$51,5,FALSE)</f>
        <v>133</v>
      </c>
      <c r="G344">
        <f>VLOOKUP(B344,Catalogue!$A$1:$F$51,6,FALSE)</f>
        <v>146.30000000000001</v>
      </c>
      <c r="H344">
        <f t="shared" si="20"/>
        <v>665</v>
      </c>
      <c r="I344">
        <f t="shared" si="21"/>
        <v>731.5</v>
      </c>
      <c r="J344">
        <f t="shared" si="22"/>
        <v>66.5</v>
      </c>
      <c r="K344" t="str">
        <v>Kleenex Tissue Box</v>
      </c>
      <c r="L344" t="str">
        <f t="shared" si="23"/>
        <v>Dec</v>
      </c>
      <c r="M344" t="str">
        <v>Paper &amp; Essentials</v>
      </c>
    </row>
    <row r="345" spans="1:13" x14ac:dyDescent="0.35">
      <c r="A345" s="8">
        <v>45635</v>
      </c>
      <c r="B345" t="s">
        <v>156</v>
      </c>
      <c r="C345">
        <v>15</v>
      </c>
      <c r="D345" t="s">
        <v>11</v>
      </c>
      <c r="E345" t="s">
        <v>11</v>
      </c>
      <c r="F345">
        <f>VLOOKUP(B345,Catalogue!$A$1:$F$51,5,FALSE)</f>
        <v>123</v>
      </c>
      <c r="G345">
        <f>VLOOKUP(B345,Catalogue!$A$1:$F$51,6,FALSE)</f>
        <v>135.30000000000001</v>
      </c>
      <c r="H345">
        <f t="shared" si="20"/>
        <v>1845</v>
      </c>
      <c r="I345">
        <f t="shared" si="21"/>
        <v>2029.5000000000002</v>
      </c>
      <c r="J345">
        <f t="shared" si="22"/>
        <v>184.50000000000023</v>
      </c>
      <c r="K345" t="str">
        <v>Origami Kitchen Towels</v>
      </c>
      <c r="L345" t="str">
        <f t="shared" si="23"/>
        <v>Dec</v>
      </c>
      <c r="M345" t="str">
        <v>Paper &amp; Essentials</v>
      </c>
    </row>
    <row r="346" spans="1:13" x14ac:dyDescent="0.35">
      <c r="A346" s="8">
        <v>45636</v>
      </c>
      <c r="B346" t="s">
        <v>84</v>
      </c>
      <c r="C346">
        <v>10</v>
      </c>
      <c r="D346" t="s">
        <v>13</v>
      </c>
      <c r="E346" t="s">
        <v>12</v>
      </c>
      <c r="F346">
        <f>VLOOKUP(B346,Catalogue!$A$1:$F$51,5,FALSE)</f>
        <v>136</v>
      </c>
      <c r="G346">
        <f>VLOOKUP(B346,Catalogue!$A$1:$F$51,6,FALSE)</f>
        <v>153.68</v>
      </c>
      <c r="H346">
        <f t="shared" si="20"/>
        <v>1360</v>
      </c>
      <c r="I346">
        <f t="shared" si="21"/>
        <v>1536.8000000000002</v>
      </c>
      <c r="J346">
        <f t="shared" si="22"/>
        <v>176.80000000000018</v>
      </c>
      <c r="K346" t="str">
        <v>Stayfree Ultra</v>
      </c>
      <c r="L346" t="str">
        <f t="shared" si="23"/>
        <v>Dec</v>
      </c>
      <c r="M346" t="str">
        <v>Paper &amp; Essentials</v>
      </c>
    </row>
    <row r="347" spans="1:13" x14ac:dyDescent="0.35">
      <c r="A347" s="8">
        <v>45637</v>
      </c>
      <c r="B347" t="s">
        <v>122</v>
      </c>
      <c r="C347">
        <v>11</v>
      </c>
      <c r="D347" t="s">
        <v>13</v>
      </c>
      <c r="E347" t="s">
        <v>11</v>
      </c>
      <c r="F347">
        <f>VLOOKUP(B347,Catalogue!$A$1:$F$51,5,FALSE)</f>
        <v>12</v>
      </c>
      <c r="G347">
        <f>VLOOKUP(B347,Catalogue!$A$1:$F$51,6,FALSE)</f>
        <v>13.44</v>
      </c>
      <c r="H347">
        <f t="shared" si="20"/>
        <v>132</v>
      </c>
      <c r="I347">
        <f t="shared" si="21"/>
        <v>147.84</v>
      </c>
      <c r="J347">
        <f t="shared" si="22"/>
        <v>15.840000000000003</v>
      </c>
      <c r="K347" t="str">
        <v>Scott Toilet Paper</v>
      </c>
      <c r="L347" t="str">
        <f t="shared" si="23"/>
        <v>Dec</v>
      </c>
      <c r="M347" t="str">
        <v>Paper &amp; Essentials</v>
      </c>
    </row>
    <row r="348" spans="1:13" x14ac:dyDescent="0.35">
      <c r="A348" s="8">
        <v>45638</v>
      </c>
      <c r="B348" t="s">
        <v>128</v>
      </c>
      <c r="C348">
        <v>6</v>
      </c>
      <c r="D348" t="s">
        <v>11</v>
      </c>
      <c r="E348" t="s">
        <v>12</v>
      </c>
      <c r="F348">
        <f>VLOOKUP(B348,Catalogue!$A$1:$F$51,5,FALSE)</f>
        <v>98</v>
      </c>
      <c r="G348">
        <f>VLOOKUP(B348,Catalogue!$A$1:$F$51,6,FALSE)</f>
        <v>132.30000000000001</v>
      </c>
      <c r="H348">
        <f t="shared" si="20"/>
        <v>588</v>
      </c>
      <c r="I348">
        <f t="shared" si="21"/>
        <v>793.80000000000007</v>
      </c>
      <c r="J348">
        <f t="shared" si="22"/>
        <v>205.80000000000007</v>
      </c>
      <c r="K348" t="str">
        <v>Bella Napkins</v>
      </c>
      <c r="L348" t="str">
        <f t="shared" si="23"/>
        <v>Dec</v>
      </c>
      <c r="M348" t="str">
        <v>Paper &amp; Essentials</v>
      </c>
    </row>
    <row r="349" spans="1:13" x14ac:dyDescent="0.35">
      <c r="A349" s="8">
        <v>45639</v>
      </c>
      <c r="B349" t="s">
        <v>134</v>
      </c>
      <c r="C349">
        <v>5</v>
      </c>
      <c r="D349" t="s">
        <v>10</v>
      </c>
      <c r="E349" t="s">
        <v>11</v>
      </c>
      <c r="F349">
        <f>VLOOKUP(B349,Catalogue!$A$1:$F$51,5,FALSE)</f>
        <v>44</v>
      </c>
      <c r="G349">
        <f>VLOOKUP(B349,Catalogue!$A$1:$F$51,6,FALSE)</f>
        <v>58.08</v>
      </c>
      <c r="H349">
        <f t="shared" si="20"/>
        <v>220</v>
      </c>
      <c r="I349">
        <f t="shared" si="21"/>
        <v>290.39999999999998</v>
      </c>
      <c r="J349">
        <f t="shared" si="22"/>
        <v>70.399999999999977</v>
      </c>
      <c r="K349" t="str">
        <v>Everteen Wipes</v>
      </c>
      <c r="L349" t="str">
        <f t="shared" si="23"/>
        <v>Dec</v>
      </c>
      <c r="M349" t="str">
        <v>Paper &amp; Essentials</v>
      </c>
    </row>
    <row r="350" spans="1:13" x14ac:dyDescent="0.35">
      <c r="A350" s="8">
        <v>45640</v>
      </c>
      <c r="B350" t="s">
        <v>102</v>
      </c>
      <c r="C350">
        <v>6</v>
      </c>
      <c r="D350" t="s">
        <v>10</v>
      </c>
      <c r="E350" t="s">
        <v>12</v>
      </c>
      <c r="F350">
        <f>VLOOKUP(B350,Catalogue!$A$1:$F$51,5,FALSE)</f>
        <v>133</v>
      </c>
      <c r="G350">
        <f>VLOOKUP(B350,Catalogue!$A$1:$F$51,6,FALSE)</f>
        <v>194.18</v>
      </c>
      <c r="H350">
        <f t="shared" si="20"/>
        <v>798</v>
      </c>
      <c r="I350">
        <f t="shared" si="21"/>
        <v>1165.08</v>
      </c>
      <c r="J350">
        <f t="shared" si="22"/>
        <v>367.07999999999993</v>
      </c>
      <c r="K350" t="str">
        <v>Premier Facial Tissues</v>
      </c>
      <c r="L350" t="str">
        <f t="shared" si="23"/>
        <v>Dec</v>
      </c>
      <c r="M350" t="str">
        <v>Paper &amp; Essentials</v>
      </c>
    </row>
    <row r="351" spans="1:13" x14ac:dyDescent="0.35">
      <c r="A351" s="8">
        <v>45641</v>
      </c>
      <c r="B351" t="s">
        <v>24</v>
      </c>
      <c r="C351">
        <v>10</v>
      </c>
      <c r="D351" t="s">
        <v>11</v>
      </c>
      <c r="E351" t="s">
        <v>12</v>
      </c>
      <c r="F351">
        <f>VLOOKUP(B351,Catalogue!$A$1:$F$51,5,FALSE)</f>
        <v>71</v>
      </c>
      <c r="G351">
        <f>VLOOKUP(B351,Catalogue!$A$1:$F$51,6,FALSE)</f>
        <v>80.23</v>
      </c>
      <c r="H351">
        <f t="shared" si="20"/>
        <v>710</v>
      </c>
      <c r="I351">
        <f t="shared" si="21"/>
        <v>802.30000000000007</v>
      </c>
      <c r="J351">
        <f t="shared" si="22"/>
        <v>92.300000000000068</v>
      </c>
      <c r="K351" t="str">
        <v>Wet Wipes - Himalaya</v>
      </c>
      <c r="L351" t="str">
        <f t="shared" si="23"/>
        <v>Dec</v>
      </c>
      <c r="M351" t="str">
        <v>Paper &amp; Essentials</v>
      </c>
    </row>
    <row r="352" spans="1:13" x14ac:dyDescent="0.35">
      <c r="A352" s="8">
        <v>45642</v>
      </c>
      <c r="B352" t="s">
        <v>64</v>
      </c>
      <c r="C352">
        <v>20</v>
      </c>
      <c r="D352" t="s">
        <v>10</v>
      </c>
      <c r="E352" t="s">
        <v>11</v>
      </c>
      <c r="F352">
        <f>VLOOKUP(B352,Catalogue!$A$1:$F$51,5,FALSE)</f>
        <v>71</v>
      </c>
      <c r="G352">
        <f>VLOOKUP(B352,Catalogue!$A$1:$F$51,6,FALSE)</f>
        <v>79.52</v>
      </c>
      <c r="H352">
        <f t="shared" si="20"/>
        <v>1420</v>
      </c>
      <c r="I352">
        <f t="shared" si="21"/>
        <v>1590.3999999999999</v>
      </c>
      <c r="J352">
        <f t="shared" si="22"/>
        <v>170.39999999999986</v>
      </c>
      <c r="K352" t="str" cm="1">
        <f t="array" ref="K352:K401">Catalogue!B2:B51</f>
        <v>Dove Soap</v>
      </c>
      <c r="L352" t="str">
        <f t="shared" si="23"/>
        <v>Dec</v>
      </c>
      <c r="M352" t="str" cm="1">
        <f t="array" ref="M352:M401">Catalogue!C2:C51</f>
        <v>Personal Care</v>
      </c>
    </row>
    <row r="353" spans="1:13" x14ac:dyDescent="0.35">
      <c r="A353" s="8">
        <v>45643</v>
      </c>
      <c r="B353" t="s">
        <v>21</v>
      </c>
      <c r="C353">
        <v>10</v>
      </c>
      <c r="D353" t="s">
        <v>10</v>
      </c>
      <c r="E353" t="s">
        <v>12</v>
      </c>
      <c r="F353">
        <f>VLOOKUP(B353,Catalogue!$A$1:$F$51,5,FALSE)</f>
        <v>44</v>
      </c>
      <c r="G353">
        <f>VLOOKUP(B353,Catalogue!$A$1:$F$51,6,FALSE)</f>
        <v>50.16</v>
      </c>
      <c r="H353">
        <f t="shared" si="20"/>
        <v>440</v>
      </c>
      <c r="I353">
        <f t="shared" si="21"/>
        <v>501.59999999999997</v>
      </c>
      <c r="J353">
        <f t="shared" si="22"/>
        <v>61.599999999999966</v>
      </c>
      <c r="K353" t="str">
        <v>Colgate Toothpaste</v>
      </c>
      <c r="L353" t="str">
        <f t="shared" si="23"/>
        <v>Dec</v>
      </c>
      <c r="M353" t="str">
        <v>Personal Care</v>
      </c>
    </row>
    <row r="354" spans="1:13" x14ac:dyDescent="0.35">
      <c r="A354" s="8">
        <v>45644</v>
      </c>
      <c r="B354" t="s">
        <v>30</v>
      </c>
      <c r="C354">
        <v>11</v>
      </c>
      <c r="D354" t="s">
        <v>11</v>
      </c>
      <c r="E354" t="s">
        <v>12</v>
      </c>
      <c r="F354">
        <f>VLOOKUP(B354,Catalogue!$A$1:$F$51,5,FALSE)</f>
        <v>124</v>
      </c>
      <c r="G354">
        <f>VLOOKUP(B354,Catalogue!$A$1:$F$51,6,FALSE)</f>
        <v>204.60000000000002</v>
      </c>
      <c r="H354">
        <f t="shared" si="20"/>
        <v>1364</v>
      </c>
      <c r="I354">
        <f t="shared" si="21"/>
        <v>2250.6000000000004</v>
      </c>
      <c r="J354">
        <f t="shared" si="22"/>
        <v>886.60000000000036</v>
      </c>
      <c r="K354" t="str">
        <v>Lifebuoy Handwash</v>
      </c>
      <c r="L354" t="str">
        <f t="shared" si="23"/>
        <v>Dec</v>
      </c>
      <c r="M354" t="str">
        <v>Personal Care</v>
      </c>
    </row>
    <row r="355" spans="1:13" x14ac:dyDescent="0.35">
      <c r="A355" s="8">
        <v>45645</v>
      </c>
      <c r="B355" t="s">
        <v>27</v>
      </c>
      <c r="C355">
        <v>19</v>
      </c>
      <c r="D355" t="s">
        <v>13</v>
      </c>
      <c r="E355" t="s">
        <v>11</v>
      </c>
      <c r="F355">
        <f>VLOOKUP(B355,Catalogue!$A$1:$F$51,5,FALSE)</f>
        <v>133</v>
      </c>
      <c r="G355">
        <f>VLOOKUP(B355,Catalogue!$A$1:$F$51,6,FALSE)</f>
        <v>187.53</v>
      </c>
      <c r="H355">
        <f t="shared" si="20"/>
        <v>2527</v>
      </c>
      <c r="I355">
        <f t="shared" si="21"/>
        <v>3563.07</v>
      </c>
      <c r="J355">
        <f t="shared" si="22"/>
        <v>1036.0700000000002</v>
      </c>
      <c r="K355" t="str">
        <v>Nivea Body Lotion</v>
      </c>
      <c r="L355" t="str">
        <f t="shared" si="23"/>
        <v>Dec</v>
      </c>
      <c r="M355" t="str">
        <v>Personal Care</v>
      </c>
    </row>
    <row r="356" spans="1:13" x14ac:dyDescent="0.35">
      <c r="A356" s="8">
        <v>45646</v>
      </c>
      <c r="B356" t="s">
        <v>131</v>
      </c>
      <c r="C356">
        <v>7</v>
      </c>
      <c r="D356" t="s">
        <v>13</v>
      </c>
      <c r="E356" t="s">
        <v>12</v>
      </c>
      <c r="F356">
        <f>VLOOKUP(B356,Catalogue!$A$1:$F$51,5,FALSE)</f>
        <v>105</v>
      </c>
      <c r="G356">
        <f>VLOOKUP(B356,Catalogue!$A$1:$F$51,6,FALSE)</f>
        <v>153.30000000000001</v>
      </c>
      <c r="H356">
        <f t="shared" si="20"/>
        <v>735</v>
      </c>
      <c r="I356">
        <f t="shared" si="21"/>
        <v>1073.1000000000001</v>
      </c>
      <c r="J356">
        <f t="shared" si="22"/>
        <v>338.10000000000014</v>
      </c>
      <c r="K356" t="str">
        <v>Gillette Shaving Foam</v>
      </c>
      <c r="L356" t="str">
        <f t="shared" si="23"/>
        <v>Dec</v>
      </c>
      <c r="M356" t="str">
        <v>Personal Care</v>
      </c>
    </row>
    <row r="357" spans="1:13" x14ac:dyDescent="0.35">
      <c r="A357" s="8">
        <v>45647</v>
      </c>
      <c r="B357" t="s">
        <v>119</v>
      </c>
      <c r="C357">
        <v>11</v>
      </c>
      <c r="D357" t="s">
        <v>11</v>
      </c>
      <c r="E357" t="s">
        <v>11</v>
      </c>
      <c r="F357">
        <f>VLOOKUP(B357,Catalogue!$A$1:$F$51,5,FALSE)</f>
        <v>136</v>
      </c>
      <c r="G357">
        <f>VLOOKUP(B357,Catalogue!$A$1:$F$51,6,FALSE)</f>
        <v>224.4</v>
      </c>
      <c r="H357">
        <f t="shared" si="20"/>
        <v>1496</v>
      </c>
      <c r="I357">
        <f t="shared" si="21"/>
        <v>2468.4</v>
      </c>
      <c r="J357">
        <f t="shared" si="22"/>
        <v>972.40000000000009</v>
      </c>
      <c r="K357" t="str">
        <v>Pantene Shampoo</v>
      </c>
      <c r="L357" t="str">
        <f t="shared" si="23"/>
        <v>Dec</v>
      </c>
      <c r="M357" t="str">
        <v>Personal Care</v>
      </c>
    </row>
    <row r="358" spans="1:13" x14ac:dyDescent="0.35">
      <c r="A358" s="8">
        <v>45648</v>
      </c>
      <c r="B358" t="s">
        <v>24</v>
      </c>
      <c r="C358">
        <v>5</v>
      </c>
      <c r="D358" t="s">
        <v>10</v>
      </c>
      <c r="E358" t="s">
        <v>12</v>
      </c>
      <c r="F358">
        <f>VLOOKUP(B358,Catalogue!$A$1:$F$51,5,FALSE)</f>
        <v>71</v>
      </c>
      <c r="G358">
        <f>VLOOKUP(B358,Catalogue!$A$1:$F$51,6,FALSE)</f>
        <v>80.23</v>
      </c>
      <c r="H358">
        <f t="shared" si="20"/>
        <v>355</v>
      </c>
      <c r="I358">
        <f t="shared" si="21"/>
        <v>401.15000000000003</v>
      </c>
      <c r="J358">
        <f t="shared" si="22"/>
        <v>46.150000000000034</v>
      </c>
      <c r="K358" t="str">
        <v>Dettol Antiseptic Liquid</v>
      </c>
      <c r="L358" t="str">
        <f t="shared" si="23"/>
        <v>Dec</v>
      </c>
      <c r="M358" t="str">
        <v>Personal Care</v>
      </c>
    </row>
    <row r="359" spans="1:13" x14ac:dyDescent="0.35">
      <c r="A359" s="8">
        <v>45649</v>
      </c>
      <c r="B359" t="s">
        <v>74</v>
      </c>
      <c r="C359">
        <v>11</v>
      </c>
      <c r="D359" t="s">
        <v>10</v>
      </c>
      <c r="E359" t="s">
        <v>11</v>
      </c>
      <c r="F359">
        <f>VLOOKUP(B359,Catalogue!$A$1:$F$51,5,FALSE)</f>
        <v>16</v>
      </c>
      <c r="G359">
        <f>VLOOKUP(B359,Catalogue!$A$1:$F$51,6,FALSE)</f>
        <v>21.12</v>
      </c>
      <c r="H359">
        <f t="shared" si="20"/>
        <v>176</v>
      </c>
      <c r="I359">
        <f t="shared" si="21"/>
        <v>232.32000000000002</v>
      </c>
      <c r="J359">
        <f t="shared" si="22"/>
        <v>56.320000000000022</v>
      </c>
      <c r="K359" t="str">
        <v>Himalaya Face Wash</v>
      </c>
      <c r="L359" t="str">
        <f t="shared" si="23"/>
        <v>Dec</v>
      </c>
      <c r="M359" t="str">
        <v>Personal Care</v>
      </c>
    </row>
    <row r="360" spans="1:13" x14ac:dyDescent="0.35">
      <c r="A360" s="8">
        <v>45650</v>
      </c>
      <c r="B360" t="s">
        <v>33</v>
      </c>
      <c r="C360">
        <v>14</v>
      </c>
      <c r="D360" t="s">
        <v>11</v>
      </c>
      <c r="E360" t="s">
        <v>12</v>
      </c>
      <c r="F360">
        <f>VLOOKUP(B360,Catalogue!$A$1:$F$51,5,FALSE)</f>
        <v>10</v>
      </c>
      <c r="G360">
        <f>VLOOKUP(B360,Catalogue!$A$1:$F$51,6,FALSE)</f>
        <v>11.2</v>
      </c>
      <c r="H360">
        <f t="shared" si="20"/>
        <v>140</v>
      </c>
      <c r="I360">
        <f t="shared" si="21"/>
        <v>156.79999999999998</v>
      </c>
      <c r="J360">
        <f t="shared" si="22"/>
        <v>16.799999999999983</v>
      </c>
      <c r="K360" t="str">
        <v>Vaseline Lip Care</v>
      </c>
      <c r="L360" t="str">
        <f t="shared" si="23"/>
        <v>Dec</v>
      </c>
      <c r="M360" t="str">
        <v>Personal Care</v>
      </c>
    </row>
    <row r="361" spans="1:13" x14ac:dyDescent="0.35">
      <c r="A361" s="8">
        <v>45651</v>
      </c>
      <c r="B361" t="s">
        <v>90</v>
      </c>
      <c r="C361">
        <v>11</v>
      </c>
      <c r="D361" t="s">
        <v>10</v>
      </c>
      <c r="E361" t="s">
        <v>12</v>
      </c>
      <c r="F361">
        <f>VLOOKUP(B361,Catalogue!$A$1:$F$51,5,FALSE)</f>
        <v>98</v>
      </c>
      <c r="G361">
        <f>VLOOKUP(B361,Catalogue!$A$1:$F$51,6,FALSE)</f>
        <v>161.69999999999999</v>
      </c>
      <c r="H361">
        <f t="shared" si="20"/>
        <v>1078</v>
      </c>
      <c r="I361">
        <f t="shared" si="21"/>
        <v>1778.6999999999998</v>
      </c>
      <c r="J361">
        <f t="shared" si="22"/>
        <v>700.69999999999982</v>
      </c>
      <c r="K361" t="str">
        <v>Johnson’s Baby Powder</v>
      </c>
      <c r="L361" t="str">
        <f t="shared" si="23"/>
        <v>Dec</v>
      </c>
      <c r="M361" t="str">
        <v>Personal Care</v>
      </c>
    </row>
    <row r="362" spans="1:13" x14ac:dyDescent="0.35">
      <c r="A362" s="8">
        <v>45652</v>
      </c>
      <c r="B362" t="s">
        <v>74</v>
      </c>
      <c r="C362">
        <v>17</v>
      </c>
      <c r="D362" t="s">
        <v>10</v>
      </c>
      <c r="E362" t="s">
        <v>11</v>
      </c>
      <c r="F362">
        <f>VLOOKUP(B362,Catalogue!$A$1:$F$51,5,FALSE)</f>
        <v>16</v>
      </c>
      <c r="G362">
        <f>VLOOKUP(B362,Catalogue!$A$1:$F$51,6,FALSE)</f>
        <v>21.12</v>
      </c>
      <c r="H362">
        <f t="shared" si="20"/>
        <v>272</v>
      </c>
      <c r="I362">
        <f t="shared" si="21"/>
        <v>359.04</v>
      </c>
      <c r="J362">
        <f t="shared" si="22"/>
        <v>87.04000000000002</v>
      </c>
      <c r="K362" t="str">
        <v>Coca-Cola Can</v>
      </c>
      <c r="L362" t="str">
        <f t="shared" si="23"/>
        <v>Dec</v>
      </c>
      <c r="M362" t="str">
        <v>Beverages</v>
      </c>
    </row>
    <row r="363" spans="1:13" x14ac:dyDescent="0.35">
      <c r="A363" s="8">
        <v>45653</v>
      </c>
      <c r="B363" t="s">
        <v>150</v>
      </c>
      <c r="C363">
        <v>2</v>
      </c>
      <c r="D363" t="s">
        <v>11</v>
      </c>
      <c r="E363" t="s">
        <v>12</v>
      </c>
      <c r="F363">
        <f>VLOOKUP(B363,Catalogue!$A$1:$F$51,5,FALSE)</f>
        <v>16</v>
      </c>
      <c r="G363">
        <f>VLOOKUP(B363,Catalogue!$A$1:$F$51,6,FALSE)</f>
        <v>26.4</v>
      </c>
      <c r="H363">
        <f t="shared" si="20"/>
        <v>32</v>
      </c>
      <c r="I363">
        <f t="shared" si="21"/>
        <v>52.8</v>
      </c>
      <c r="J363">
        <f t="shared" si="22"/>
        <v>20.799999999999997</v>
      </c>
      <c r="K363" t="str">
        <v>Pepsi Bottle</v>
      </c>
      <c r="L363" t="str">
        <f t="shared" si="23"/>
        <v>Dec</v>
      </c>
      <c r="M363" t="str">
        <v>Beverages</v>
      </c>
    </row>
    <row r="364" spans="1:13" x14ac:dyDescent="0.35">
      <c r="A364" s="8">
        <v>45654</v>
      </c>
      <c r="B364" t="s">
        <v>69</v>
      </c>
      <c r="C364">
        <v>8</v>
      </c>
      <c r="D364" t="s">
        <v>13</v>
      </c>
      <c r="E364" t="s">
        <v>12</v>
      </c>
      <c r="F364">
        <f>VLOOKUP(B364,Catalogue!$A$1:$F$51,5,FALSE)</f>
        <v>124</v>
      </c>
      <c r="G364">
        <f>VLOOKUP(B364,Catalogue!$A$1:$F$51,6,FALSE)</f>
        <v>167.4</v>
      </c>
      <c r="H364">
        <f t="shared" si="20"/>
        <v>992</v>
      </c>
      <c r="I364">
        <f t="shared" si="21"/>
        <v>1339.2</v>
      </c>
      <c r="J364">
        <f t="shared" si="22"/>
        <v>347.20000000000005</v>
      </c>
      <c r="K364" t="str">
        <v>Red Bull</v>
      </c>
      <c r="L364" t="str">
        <f t="shared" si="23"/>
        <v>Dec</v>
      </c>
      <c r="M364" t="str">
        <v>Beverages</v>
      </c>
    </row>
    <row r="365" spans="1:13" x14ac:dyDescent="0.35">
      <c r="A365" s="8">
        <v>45655</v>
      </c>
      <c r="B365" t="s">
        <v>30</v>
      </c>
      <c r="C365">
        <v>17</v>
      </c>
      <c r="D365" t="s">
        <v>13</v>
      </c>
      <c r="E365" t="s">
        <v>11</v>
      </c>
      <c r="F365">
        <f>VLOOKUP(B365,Catalogue!$A$1:$F$51,5,FALSE)</f>
        <v>124</v>
      </c>
      <c r="G365">
        <f>VLOOKUP(B365,Catalogue!$A$1:$F$51,6,FALSE)</f>
        <v>204.60000000000002</v>
      </c>
      <c r="H365">
        <f t="shared" si="20"/>
        <v>2108</v>
      </c>
      <c r="I365">
        <f t="shared" si="21"/>
        <v>3478.2000000000003</v>
      </c>
      <c r="J365">
        <f t="shared" si="22"/>
        <v>1370.2000000000003</v>
      </c>
      <c r="K365" t="str">
        <v>Tropicana Orange Juice</v>
      </c>
      <c r="L365" t="str">
        <f t="shared" si="23"/>
        <v>Dec</v>
      </c>
      <c r="M365" t="str">
        <v>Beverages</v>
      </c>
    </row>
    <row r="366" spans="1:13" x14ac:dyDescent="0.35">
      <c r="A366" s="8">
        <v>45656</v>
      </c>
      <c r="B366" t="s">
        <v>99</v>
      </c>
      <c r="C366">
        <v>19</v>
      </c>
      <c r="D366" t="s">
        <v>11</v>
      </c>
      <c r="E366" t="s">
        <v>12</v>
      </c>
      <c r="F366">
        <f>VLOOKUP(B366,Catalogue!$A$1:$F$51,5,FALSE)</f>
        <v>71</v>
      </c>
      <c r="G366">
        <f>VLOOKUP(B366,Catalogue!$A$1:$F$51,6,FALSE)</f>
        <v>95.85</v>
      </c>
      <c r="H366">
        <f t="shared" si="20"/>
        <v>1349</v>
      </c>
      <c r="I366">
        <f t="shared" si="21"/>
        <v>1821.1499999999999</v>
      </c>
      <c r="J366">
        <f t="shared" si="22"/>
        <v>472.14999999999986</v>
      </c>
      <c r="K366" t="str">
        <v>Minute Maid Pulpy</v>
      </c>
      <c r="L366" t="str">
        <f t="shared" si="23"/>
        <v>Dec</v>
      </c>
      <c r="M366" t="str">
        <v>Beverages</v>
      </c>
    </row>
    <row r="367" spans="1:13" x14ac:dyDescent="0.35">
      <c r="A367" s="8">
        <v>45657</v>
      </c>
      <c r="B367" t="s">
        <v>33</v>
      </c>
      <c r="C367">
        <v>10</v>
      </c>
      <c r="D367" t="s">
        <v>10</v>
      </c>
      <c r="E367" t="s">
        <v>11</v>
      </c>
      <c r="F367">
        <f>VLOOKUP(B367,Catalogue!$A$1:$F$51,5,FALSE)</f>
        <v>10</v>
      </c>
      <c r="G367">
        <f>VLOOKUP(B367,Catalogue!$A$1:$F$51,6,FALSE)</f>
        <v>11.2</v>
      </c>
      <c r="H367">
        <f t="shared" si="20"/>
        <v>100</v>
      </c>
      <c r="I367">
        <f t="shared" si="21"/>
        <v>112</v>
      </c>
      <c r="J367">
        <f t="shared" si="22"/>
        <v>12</v>
      </c>
      <c r="K367" t="str">
        <v>Frooti Mango Drink</v>
      </c>
      <c r="L367" t="str">
        <f t="shared" si="23"/>
        <v>Dec</v>
      </c>
      <c r="M367" t="str">
        <v>Beverages</v>
      </c>
    </row>
    <row r="368" spans="1:13" x14ac:dyDescent="0.35">
      <c r="A368" s="8">
        <v>45658</v>
      </c>
      <c r="B368" t="s">
        <v>150</v>
      </c>
      <c r="C368">
        <v>14</v>
      </c>
      <c r="D368" t="s">
        <v>10</v>
      </c>
      <c r="E368" t="s">
        <v>12</v>
      </c>
      <c r="F368">
        <f>VLOOKUP(B368,Catalogue!$A$1:$F$51,5,FALSE)</f>
        <v>16</v>
      </c>
      <c r="G368">
        <f>VLOOKUP(B368,Catalogue!$A$1:$F$51,6,FALSE)</f>
        <v>26.4</v>
      </c>
      <c r="H368">
        <f t="shared" si="20"/>
        <v>224</v>
      </c>
      <c r="I368">
        <f t="shared" si="21"/>
        <v>369.59999999999997</v>
      </c>
      <c r="J368">
        <f t="shared" si="22"/>
        <v>145.59999999999997</v>
      </c>
      <c r="K368" t="str">
        <v>Nestlé Iced Tea</v>
      </c>
      <c r="L368" t="str">
        <f t="shared" si="23"/>
        <v>Jan</v>
      </c>
      <c r="M368" t="str">
        <v>Beverages</v>
      </c>
    </row>
    <row r="369" spans="1:13" x14ac:dyDescent="0.35">
      <c r="A369" s="8">
        <v>45659</v>
      </c>
      <c r="B369" t="s">
        <v>96</v>
      </c>
      <c r="C369">
        <v>10</v>
      </c>
      <c r="D369" t="s">
        <v>11</v>
      </c>
      <c r="E369" t="s">
        <v>11</v>
      </c>
      <c r="F369">
        <f>VLOOKUP(B369,Catalogue!$A$1:$F$51,5,FALSE)</f>
        <v>44</v>
      </c>
      <c r="G369">
        <f>VLOOKUP(B369,Catalogue!$A$1:$F$51,6,FALSE)</f>
        <v>48.4</v>
      </c>
      <c r="H369">
        <f t="shared" si="20"/>
        <v>440</v>
      </c>
      <c r="I369">
        <f t="shared" si="21"/>
        <v>484</v>
      </c>
      <c r="J369">
        <f t="shared" si="22"/>
        <v>44</v>
      </c>
      <c r="K369" t="str">
        <v>Real Mixed Fruit Juice</v>
      </c>
      <c r="L369" t="str">
        <f t="shared" si="23"/>
        <v>Jan</v>
      </c>
      <c r="M369" t="str">
        <v>Beverages</v>
      </c>
    </row>
    <row r="370" spans="1:13" x14ac:dyDescent="0.35">
      <c r="A370" s="8">
        <v>45660</v>
      </c>
      <c r="B370" t="s">
        <v>104</v>
      </c>
      <c r="C370">
        <v>16</v>
      </c>
      <c r="D370" t="s">
        <v>10</v>
      </c>
      <c r="E370" t="s">
        <v>12</v>
      </c>
      <c r="F370">
        <f>VLOOKUP(B370,Catalogue!$A$1:$F$51,5,FALSE)</f>
        <v>124</v>
      </c>
      <c r="G370">
        <f>VLOOKUP(B370,Catalogue!$A$1:$F$51,6,FALSE)</f>
        <v>163.68</v>
      </c>
      <c r="H370">
        <f t="shared" si="20"/>
        <v>1984</v>
      </c>
      <c r="I370">
        <f t="shared" si="21"/>
        <v>2618.88</v>
      </c>
      <c r="J370">
        <f t="shared" si="22"/>
        <v>634.88000000000011</v>
      </c>
      <c r="K370" t="str">
        <v>Amul Kool Flavored Milk</v>
      </c>
      <c r="L370" t="str">
        <f t="shared" si="23"/>
        <v>Jan</v>
      </c>
      <c r="M370" t="str">
        <v>Beverages</v>
      </c>
    </row>
    <row r="371" spans="1:13" x14ac:dyDescent="0.35">
      <c r="A371" s="8">
        <v>45661</v>
      </c>
      <c r="B371" t="s">
        <v>113</v>
      </c>
      <c r="C371">
        <v>14</v>
      </c>
      <c r="D371" t="s">
        <v>10</v>
      </c>
      <c r="E371" t="s">
        <v>12</v>
      </c>
      <c r="F371">
        <f>VLOOKUP(B371,Catalogue!$A$1:$F$51,5,FALSE)</f>
        <v>10</v>
      </c>
      <c r="G371">
        <f>VLOOKUP(B371,Catalogue!$A$1:$F$51,6,FALSE)</f>
        <v>11.3</v>
      </c>
      <c r="H371">
        <f t="shared" si="20"/>
        <v>140</v>
      </c>
      <c r="I371">
        <f t="shared" si="21"/>
        <v>158.20000000000002</v>
      </c>
      <c r="J371">
        <f t="shared" si="22"/>
        <v>18.200000000000017</v>
      </c>
      <c r="K371" t="str">
        <v>Paper Boat Aam Panna</v>
      </c>
      <c r="L371" t="str">
        <f t="shared" si="23"/>
        <v>Jan</v>
      </c>
      <c r="M371" t="str">
        <v>Beverages</v>
      </c>
    </row>
    <row r="372" spans="1:13" x14ac:dyDescent="0.35">
      <c r="A372" s="8">
        <v>45662</v>
      </c>
      <c r="B372" t="s">
        <v>81</v>
      </c>
      <c r="C372">
        <v>17</v>
      </c>
      <c r="D372" t="s">
        <v>11</v>
      </c>
      <c r="E372" t="s">
        <v>11</v>
      </c>
      <c r="F372">
        <f>VLOOKUP(B372,Catalogue!$A$1:$F$51,5,FALSE)</f>
        <v>123</v>
      </c>
      <c r="G372">
        <f>VLOOKUP(B372,Catalogue!$A$1:$F$51,6,FALSE)</f>
        <v>140.22</v>
      </c>
      <c r="H372">
        <f t="shared" si="20"/>
        <v>2091</v>
      </c>
      <c r="I372">
        <f t="shared" si="21"/>
        <v>2383.7399999999998</v>
      </c>
      <c r="J372">
        <f t="shared" si="22"/>
        <v>292.73999999999978</v>
      </c>
      <c r="K372" t="str">
        <v>Maggi Noodles</v>
      </c>
      <c r="L372" t="str">
        <f t="shared" si="23"/>
        <v>Jan</v>
      </c>
      <c r="M372" t="str">
        <v>Packaged Foods</v>
      </c>
    </row>
    <row r="373" spans="1:13" x14ac:dyDescent="0.35">
      <c r="A373" s="8">
        <v>45663</v>
      </c>
      <c r="B373" t="s">
        <v>49</v>
      </c>
      <c r="C373">
        <v>10</v>
      </c>
      <c r="D373" t="s">
        <v>13</v>
      </c>
      <c r="E373" t="s">
        <v>12</v>
      </c>
      <c r="F373">
        <f>VLOOKUP(B373,Catalogue!$A$1:$F$51,5,FALSE)</f>
        <v>12</v>
      </c>
      <c r="G373">
        <f>VLOOKUP(B373,Catalogue!$A$1:$F$51,6,FALSE)</f>
        <v>13.44</v>
      </c>
      <c r="H373">
        <f t="shared" si="20"/>
        <v>120</v>
      </c>
      <c r="I373">
        <f t="shared" si="21"/>
        <v>134.4</v>
      </c>
      <c r="J373">
        <f t="shared" si="22"/>
        <v>14.400000000000006</v>
      </c>
      <c r="K373" t="str">
        <v>Sunfeast Biscuits</v>
      </c>
      <c r="L373" t="str">
        <f t="shared" si="23"/>
        <v>Jan</v>
      </c>
      <c r="M373" t="str">
        <v>Packaged Foods</v>
      </c>
    </row>
    <row r="374" spans="1:13" x14ac:dyDescent="0.35">
      <c r="A374" s="8">
        <v>45664</v>
      </c>
      <c r="B374" t="s">
        <v>159</v>
      </c>
      <c r="C374">
        <v>8</v>
      </c>
      <c r="D374" t="s">
        <v>13</v>
      </c>
      <c r="E374" t="s">
        <v>12</v>
      </c>
      <c r="F374">
        <f>VLOOKUP(B374,Catalogue!$A$1:$F$51,5,FALSE)</f>
        <v>136</v>
      </c>
      <c r="G374">
        <f>VLOOKUP(B374,Catalogue!$A$1:$F$51,6,FALSE)</f>
        <v>183.6</v>
      </c>
      <c r="H374">
        <f t="shared" si="20"/>
        <v>1088</v>
      </c>
      <c r="I374">
        <f t="shared" si="21"/>
        <v>1468.8</v>
      </c>
      <c r="J374">
        <f t="shared" si="22"/>
        <v>380.79999999999995</v>
      </c>
      <c r="K374" t="str">
        <v>Nestlé Cerelac</v>
      </c>
      <c r="L374" t="str">
        <f t="shared" si="23"/>
        <v>Jan</v>
      </c>
      <c r="M374" t="str">
        <v>Packaged Foods</v>
      </c>
    </row>
    <row r="375" spans="1:13" x14ac:dyDescent="0.35">
      <c r="A375" s="8">
        <v>45665</v>
      </c>
      <c r="B375" t="s">
        <v>49</v>
      </c>
      <c r="C375">
        <v>12</v>
      </c>
      <c r="D375" t="s">
        <v>11</v>
      </c>
      <c r="E375" t="s">
        <v>11</v>
      </c>
      <c r="F375">
        <f>VLOOKUP(B375,Catalogue!$A$1:$F$51,5,FALSE)</f>
        <v>12</v>
      </c>
      <c r="G375">
        <f>VLOOKUP(B375,Catalogue!$A$1:$F$51,6,FALSE)</f>
        <v>13.44</v>
      </c>
      <c r="H375">
        <f t="shared" si="20"/>
        <v>144</v>
      </c>
      <c r="I375">
        <f t="shared" si="21"/>
        <v>161.28</v>
      </c>
      <c r="J375">
        <f t="shared" si="22"/>
        <v>17.28</v>
      </c>
      <c r="K375" t="str">
        <v>MTR Ready Curry</v>
      </c>
      <c r="L375" t="str">
        <f t="shared" si="23"/>
        <v>Jan</v>
      </c>
      <c r="M375" t="str">
        <v>Packaged Foods</v>
      </c>
    </row>
    <row r="376" spans="1:13" x14ac:dyDescent="0.35">
      <c r="A376" s="8">
        <v>45666</v>
      </c>
      <c r="B376" t="s">
        <v>153</v>
      </c>
      <c r="C376">
        <v>4</v>
      </c>
      <c r="D376" t="s">
        <v>10</v>
      </c>
      <c r="E376" t="s">
        <v>12</v>
      </c>
      <c r="F376">
        <f>VLOOKUP(B376,Catalogue!$A$1:$F$51,5,FALSE)</f>
        <v>10</v>
      </c>
      <c r="G376">
        <f>VLOOKUP(B376,Catalogue!$A$1:$F$51,6,FALSE)</f>
        <v>11.2</v>
      </c>
      <c r="H376">
        <f t="shared" si="20"/>
        <v>40</v>
      </c>
      <c r="I376">
        <f t="shared" si="21"/>
        <v>44.8</v>
      </c>
      <c r="J376">
        <f t="shared" si="22"/>
        <v>4.7999999999999972</v>
      </c>
      <c r="K376" t="str">
        <v>Haldiram's Bhujia</v>
      </c>
      <c r="L376" t="str">
        <f t="shared" si="23"/>
        <v>Jan</v>
      </c>
      <c r="M376" t="str">
        <v>Packaged Foods</v>
      </c>
    </row>
    <row r="377" spans="1:13" x14ac:dyDescent="0.35">
      <c r="A377" s="8">
        <v>45667</v>
      </c>
      <c r="B377" t="s">
        <v>36</v>
      </c>
      <c r="C377">
        <v>8</v>
      </c>
      <c r="D377" t="s">
        <v>10</v>
      </c>
      <c r="E377" t="s">
        <v>11</v>
      </c>
      <c r="F377">
        <f>VLOOKUP(B377,Catalogue!$A$1:$F$51,5,FALSE)</f>
        <v>16</v>
      </c>
      <c r="G377">
        <f>VLOOKUP(B377,Catalogue!$A$1:$F$51,6,FALSE)</f>
        <v>17.600000000000001</v>
      </c>
      <c r="H377">
        <f t="shared" si="20"/>
        <v>128</v>
      </c>
      <c r="I377">
        <f t="shared" si="21"/>
        <v>140.80000000000001</v>
      </c>
      <c r="J377">
        <f t="shared" si="22"/>
        <v>12.800000000000011</v>
      </c>
      <c r="K377" t="str">
        <v>Lay's Chips</v>
      </c>
      <c r="L377" t="str">
        <f t="shared" si="23"/>
        <v>Jan</v>
      </c>
      <c r="M377" t="str">
        <v>Packaged Foods</v>
      </c>
    </row>
    <row r="378" spans="1:13" x14ac:dyDescent="0.35">
      <c r="A378" s="8">
        <v>45668</v>
      </c>
      <c r="B378" t="s">
        <v>131</v>
      </c>
      <c r="C378">
        <v>4</v>
      </c>
      <c r="D378" t="s">
        <v>11</v>
      </c>
      <c r="E378" t="s">
        <v>12</v>
      </c>
      <c r="F378">
        <f>VLOOKUP(B378,Catalogue!$A$1:$F$51,5,FALSE)</f>
        <v>105</v>
      </c>
      <c r="G378">
        <f>VLOOKUP(B378,Catalogue!$A$1:$F$51,6,FALSE)</f>
        <v>153.30000000000001</v>
      </c>
      <c r="H378">
        <f t="shared" si="20"/>
        <v>420</v>
      </c>
      <c r="I378">
        <f t="shared" si="21"/>
        <v>613.20000000000005</v>
      </c>
      <c r="J378">
        <f t="shared" si="22"/>
        <v>193.20000000000005</v>
      </c>
      <c r="K378" t="str">
        <v>Kellogg’s Corn Flakes</v>
      </c>
      <c r="L378" t="str">
        <f t="shared" si="23"/>
        <v>Jan</v>
      </c>
      <c r="M378" t="str">
        <v>Packaged Foods</v>
      </c>
    </row>
    <row r="379" spans="1:13" x14ac:dyDescent="0.35">
      <c r="A379" s="8">
        <v>45669</v>
      </c>
      <c r="B379" t="s">
        <v>27</v>
      </c>
      <c r="C379">
        <v>19</v>
      </c>
      <c r="D379" t="s">
        <v>10</v>
      </c>
      <c r="E379" t="s">
        <v>11</v>
      </c>
      <c r="F379">
        <f>VLOOKUP(B379,Catalogue!$A$1:$F$51,5,FALSE)</f>
        <v>133</v>
      </c>
      <c r="G379">
        <f>VLOOKUP(B379,Catalogue!$A$1:$F$51,6,FALSE)</f>
        <v>187.53</v>
      </c>
      <c r="H379">
        <f t="shared" si="20"/>
        <v>2527</v>
      </c>
      <c r="I379">
        <f t="shared" si="21"/>
        <v>3563.07</v>
      </c>
      <c r="J379">
        <f t="shared" si="22"/>
        <v>1036.0700000000002</v>
      </c>
      <c r="K379" t="str">
        <v>Britannia Cake</v>
      </c>
      <c r="L379" t="str">
        <f t="shared" si="23"/>
        <v>Jan</v>
      </c>
      <c r="M379" t="str">
        <v>Packaged Foods</v>
      </c>
    </row>
    <row r="380" spans="1:13" x14ac:dyDescent="0.35">
      <c r="A380" s="8">
        <v>45670</v>
      </c>
      <c r="B380" t="s">
        <v>74</v>
      </c>
      <c r="C380">
        <v>3</v>
      </c>
      <c r="D380" t="s">
        <v>10</v>
      </c>
      <c r="E380" t="s">
        <v>12</v>
      </c>
      <c r="F380">
        <f>VLOOKUP(B380,Catalogue!$A$1:$F$51,5,FALSE)</f>
        <v>16</v>
      </c>
      <c r="G380">
        <f>VLOOKUP(B380,Catalogue!$A$1:$F$51,6,FALSE)</f>
        <v>21.12</v>
      </c>
      <c r="H380">
        <f t="shared" si="20"/>
        <v>48</v>
      </c>
      <c r="I380">
        <f t="shared" si="21"/>
        <v>63.36</v>
      </c>
      <c r="J380">
        <f t="shared" si="22"/>
        <v>15.36</v>
      </c>
      <c r="K380" t="str">
        <v>Yippee Noodles</v>
      </c>
      <c r="L380" t="str">
        <f t="shared" si="23"/>
        <v>Jan</v>
      </c>
      <c r="M380" t="str">
        <v>Packaged Foods</v>
      </c>
    </row>
    <row r="381" spans="1:13" x14ac:dyDescent="0.35">
      <c r="A381" s="8">
        <v>45671</v>
      </c>
      <c r="B381" t="s">
        <v>104</v>
      </c>
      <c r="C381">
        <v>14</v>
      </c>
      <c r="D381" t="s">
        <v>11</v>
      </c>
      <c r="E381" t="s">
        <v>12</v>
      </c>
      <c r="F381">
        <f>VLOOKUP(B381,Catalogue!$A$1:$F$51,5,FALSE)</f>
        <v>124</v>
      </c>
      <c r="G381">
        <f>VLOOKUP(B381,Catalogue!$A$1:$F$51,6,FALSE)</f>
        <v>163.68</v>
      </c>
      <c r="H381">
        <f t="shared" si="20"/>
        <v>1736</v>
      </c>
      <c r="I381">
        <f t="shared" si="21"/>
        <v>2291.52</v>
      </c>
      <c r="J381">
        <f t="shared" si="22"/>
        <v>555.52</v>
      </c>
      <c r="K381" t="str">
        <v>Top Ramen</v>
      </c>
      <c r="L381" t="str">
        <f t="shared" si="23"/>
        <v>Jan</v>
      </c>
      <c r="M381" t="str">
        <v>Packaged Foods</v>
      </c>
    </row>
    <row r="382" spans="1:13" x14ac:dyDescent="0.35">
      <c r="A382" s="8">
        <v>45672</v>
      </c>
      <c r="B382" t="s">
        <v>55</v>
      </c>
      <c r="C382">
        <v>2</v>
      </c>
      <c r="D382" t="s">
        <v>13</v>
      </c>
      <c r="E382" t="s">
        <v>11</v>
      </c>
      <c r="F382">
        <f>VLOOKUP(B382,Catalogue!$A$1:$F$51,5,FALSE)</f>
        <v>98</v>
      </c>
      <c r="G382">
        <f>VLOOKUP(B382,Catalogue!$A$1:$F$51,6,FALSE)</f>
        <v>110.74</v>
      </c>
      <c r="H382">
        <f t="shared" si="20"/>
        <v>196</v>
      </c>
      <c r="I382">
        <f t="shared" si="21"/>
        <v>221.48</v>
      </c>
      <c r="J382">
        <f t="shared" si="22"/>
        <v>25.47999999999999</v>
      </c>
      <c r="K382" t="str">
        <v>Surf Excel Detergent</v>
      </c>
      <c r="L382" t="str">
        <f t="shared" si="23"/>
        <v>Jan</v>
      </c>
      <c r="M382" t="str">
        <v>Household Cleaning</v>
      </c>
    </row>
    <row r="383" spans="1:13" x14ac:dyDescent="0.35">
      <c r="A383" s="8">
        <v>45673</v>
      </c>
      <c r="B383" t="s">
        <v>36</v>
      </c>
      <c r="C383">
        <v>7</v>
      </c>
      <c r="D383" t="s">
        <v>13</v>
      </c>
      <c r="E383" t="s">
        <v>12</v>
      </c>
      <c r="F383">
        <f>VLOOKUP(B383,Catalogue!$A$1:$F$51,5,FALSE)</f>
        <v>16</v>
      </c>
      <c r="G383">
        <f>VLOOKUP(B383,Catalogue!$A$1:$F$51,6,FALSE)</f>
        <v>17.600000000000001</v>
      </c>
      <c r="H383">
        <f t="shared" si="20"/>
        <v>112</v>
      </c>
      <c r="I383">
        <f t="shared" si="21"/>
        <v>123.20000000000002</v>
      </c>
      <c r="J383">
        <f t="shared" si="22"/>
        <v>11.200000000000017</v>
      </c>
      <c r="K383" t="str">
        <v>Vim Dishwash Bar</v>
      </c>
      <c r="L383" t="str">
        <f t="shared" si="23"/>
        <v>Jan</v>
      </c>
      <c r="M383" t="str">
        <v>Household Cleaning</v>
      </c>
    </row>
    <row r="384" spans="1:13" x14ac:dyDescent="0.35">
      <c r="A384" s="8">
        <v>45674</v>
      </c>
      <c r="B384" t="s">
        <v>21</v>
      </c>
      <c r="C384">
        <v>4</v>
      </c>
      <c r="D384" t="s">
        <v>11</v>
      </c>
      <c r="E384" t="s">
        <v>12</v>
      </c>
      <c r="F384">
        <f>VLOOKUP(B384,Catalogue!$A$1:$F$51,5,FALSE)</f>
        <v>44</v>
      </c>
      <c r="G384">
        <f>VLOOKUP(B384,Catalogue!$A$1:$F$51,6,FALSE)</f>
        <v>50.16</v>
      </c>
      <c r="H384">
        <f t="shared" si="20"/>
        <v>176</v>
      </c>
      <c r="I384">
        <f t="shared" si="21"/>
        <v>200.64</v>
      </c>
      <c r="J384">
        <f t="shared" si="22"/>
        <v>24.639999999999986</v>
      </c>
      <c r="K384" t="str">
        <v>Harpic Toilet Cleaner</v>
      </c>
      <c r="L384" t="str">
        <f t="shared" si="23"/>
        <v>Jan</v>
      </c>
      <c r="M384" t="str">
        <v>Household Cleaning</v>
      </c>
    </row>
    <row r="385" spans="1:13" x14ac:dyDescent="0.35">
      <c r="A385" s="8">
        <v>45675</v>
      </c>
      <c r="B385" t="s">
        <v>84</v>
      </c>
      <c r="C385">
        <v>10</v>
      </c>
      <c r="D385" t="s">
        <v>10</v>
      </c>
      <c r="E385" t="s">
        <v>11</v>
      </c>
      <c r="F385">
        <f>VLOOKUP(B385,Catalogue!$A$1:$F$51,5,FALSE)</f>
        <v>136</v>
      </c>
      <c r="G385">
        <f>VLOOKUP(B385,Catalogue!$A$1:$F$51,6,FALSE)</f>
        <v>153.68</v>
      </c>
      <c r="H385">
        <f t="shared" si="20"/>
        <v>1360</v>
      </c>
      <c r="I385">
        <f t="shared" si="21"/>
        <v>1536.8000000000002</v>
      </c>
      <c r="J385">
        <f t="shared" si="22"/>
        <v>176.80000000000018</v>
      </c>
      <c r="K385" t="str">
        <v>Lizol Floor Cleaner</v>
      </c>
      <c r="L385" t="str">
        <f t="shared" si="23"/>
        <v>Jan</v>
      </c>
      <c r="M385" t="str">
        <v>Household Cleaning</v>
      </c>
    </row>
    <row r="386" spans="1:13" x14ac:dyDescent="0.35">
      <c r="A386" s="8">
        <v>45676</v>
      </c>
      <c r="B386" t="s">
        <v>134</v>
      </c>
      <c r="C386">
        <v>2</v>
      </c>
      <c r="D386" t="s">
        <v>11</v>
      </c>
      <c r="E386" t="s">
        <v>12</v>
      </c>
      <c r="F386">
        <f>VLOOKUP(B386,Catalogue!$A$1:$F$51,5,FALSE)</f>
        <v>44</v>
      </c>
      <c r="G386">
        <f>VLOOKUP(B386,Catalogue!$A$1:$F$51,6,FALSE)</f>
        <v>58.08</v>
      </c>
      <c r="H386">
        <f t="shared" si="20"/>
        <v>88</v>
      </c>
      <c r="I386">
        <f t="shared" si="21"/>
        <v>116.16</v>
      </c>
      <c r="J386">
        <f t="shared" si="22"/>
        <v>28.159999999999997</v>
      </c>
      <c r="K386" t="str">
        <v>Domex Disinfectant</v>
      </c>
      <c r="L386" t="str">
        <f t="shared" si="23"/>
        <v>Jan</v>
      </c>
      <c r="M386" t="str">
        <v>Household Cleaning</v>
      </c>
    </row>
    <row r="387" spans="1:13" x14ac:dyDescent="0.35">
      <c r="A387" s="8">
        <v>45677</v>
      </c>
      <c r="B387" t="s">
        <v>81</v>
      </c>
      <c r="C387">
        <v>2</v>
      </c>
      <c r="D387" t="s">
        <v>13</v>
      </c>
      <c r="E387" t="s">
        <v>12</v>
      </c>
      <c r="F387">
        <f>VLOOKUP(B387,Catalogue!$A$1:$F$51,5,FALSE)</f>
        <v>123</v>
      </c>
      <c r="G387">
        <f>VLOOKUP(B387,Catalogue!$A$1:$F$51,6,FALSE)</f>
        <v>140.22</v>
      </c>
      <c r="H387">
        <f t="shared" ref="H387:H428" si="24">C387*F387</f>
        <v>246</v>
      </c>
      <c r="I387">
        <f t="shared" ref="I387:I428" si="25">C387*G387</f>
        <v>280.44</v>
      </c>
      <c r="J387">
        <f t="shared" ref="J387:J428" si="26">I387-H387</f>
        <v>34.44</v>
      </c>
      <c r="K387" t="str">
        <v>Rin Bar</v>
      </c>
      <c r="L387" t="str">
        <f t="shared" ref="L387:L428" si="27">TEXT(A387,"mmm")</f>
        <v>Jan</v>
      </c>
      <c r="M387" t="str">
        <v>Household Cleaning</v>
      </c>
    </row>
    <row r="388" spans="1:13" x14ac:dyDescent="0.35">
      <c r="A388" s="8">
        <v>45678</v>
      </c>
      <c r="B388" t="s">
        <v>162</v>
      </c>
      <c r="C388">
        <v>11</v>
      </c>
      <c r="D388" t="s">
        <v>13</v>
      </c>
      <c r="E388" t="s">
        <v>11</v>
      </c>
      <c r="F388">
        <f>VLOOKUP(B388,Catalogue!$A$1:$F$51,5,FALSE)</f>
        <v>12</v>
      </c>
      <c r="G388">
        <f>VLOOKUP(B388,Catalogue!$A$1:$F$51,6,FALSE)</f>
        <v>17.52</v>
      </c>
      <c r="H388">
        <f t="shared" si="24"/>
        <v>132</v>
      </c>
      <c r="I388">
        <f t="shared" si="25"/>
        <v>192.72</v>
      </c>
      <c r="J388">
        <f t="shared" si="26"/>
        <v>60.72</v>
      </c>
      <c r="K388" t="str">
        <v>Scotch-Brite Scrub Pad</v>
      </c>
      <c r="L388" t="str">
        <f t="shared" si="27"/>
        <v>Jan</v>
      </c>
      <c r="M388" t="str">
        <v>Household Cleaning</v>
      </c>
    </row>
    <row r="389" spans="1:13" x14ac:dyDescent="0.35">
      <c r="A389" s="8">
        <v>45679</v>
      </c>
      <c r="B389" t="s">
        <v>134</v>
      </c>
      <c r="C389">
        <v>18</v>
      </c>
      <c r="D389" t="s">
        <v>11</v>
      </c>
      <c r="E389" t="s">
        <v>12</v>
      </c>
      <c r="F389">
        <f>VLOOKUP(B389,Catalogue!$A$1:$F$51,5,FALSE)</f>
        <v>44</v>
      </c>
      <c r="G389">
        <f>VLOOKUP(B389,Catalogue!$A$1:$F$51,6,FALSE)</f>
        <v>58.08</v>
      </c>
      <c r="H389">
        <f t="shared" si="24"/>
        <v>792</v>
      </c>
      <c r="I389">
        <f t="shared" si="25"/>
        <v>1045.44</v>
      </c>
      <c r="J389">
        <f t="shared" si="26"/>
        <v>253.44000000000005</v>
      </c>
      <c r="K389" t="str">
        <v>Pril Dishwash Liquid</v>
      </c>
      <c r="L389" t="str">
        <f t="shared" si="27"/>
        <v>Jan</v>
      </c>
      <c r="M389" t="str">
        <v>Household Cleaning</v>
      </c>
    </row>
    <row r="390" spans="1:13" x14ac:dyDescent="0.35">
      <c r="A390" s="8">
        <v>45680</v>
      </c>
      <c r="B390" t="s">
        <v>33</v>
      </c>
      <c r="C390">
        <v>10</v>
      </c>
      <c r="D390" t="s">
        <v>10</v>
      </c>
      <c r="E390" t="s">
        <v>11</v>
      </c>
      <c r="F390">
        <f>VLOOKUP(B390,Catalogue!$A$1:$F$51,5,FALSE)</f>
        <v>10</v>
      </c>
      <c r="G390">
        <f>VLOOKUP(B390,Catalogue!$A$1:$F$51,6,FALSE)</f>
        <v>11.2</v>
      </c>
      <c r="H390">
        <f t="shared" si="24"/>
        <v>100</v>
      </c>
      <c r="I390">
        <f t="shared" si="25"/>
        <v>112</v>
      </c>
      <c r="J390">
        <f t="shared" si="26"/>
        <v>12</v>
      </c>
      <c r="K390" t="str">
        <v>Exo Dishwash Bar</v>
      </c>
      <c r="L390" t="str">
        <f t="shared" si="27"/>
        <v>Jan</v>
      </c>
      <c r="M390" t="str">
        <v>Household Cleaning</v>
      </c>
    </row>
    <row r="391" spans="1:13" x14ac:dyDescent="0.35">
      <c r="A391" s="8">
        <v>45681</v>
      </c>
      <c r="B391" t="s">
        <v>150</v>
      </c>
      <c r="C391">
        <v>14</v>
      </c>
      <c r="D391" t="s">
        <v>10</v>
      </c>
      <c r="E391" t="s">
        <v>12</v>
      </c>
      <c r="F391">
        <f>VLOOKUP(B391,Catalogue!$A$1:$F$51,5,FALSE)</f>
        <v>16</v>
      </c>
      <c r="G391">
        <f>VLOOKUP(B391,Catalogue!$A$1:$F$51,6,FALSE)</f>
        <v>26.4</v>
      </c>
      <c r="H391">
        <f t="shared" si="24"/>
        <v>224</v>
      </c>
      <c r="I391">
        <f t="shared" si="25"/>
        <v>369.59999999999997</v>
      </c>
      <c r="J391">
        <f t="shared" si="26"/>
        <v>145.59999999999997</v>
      </c>
      <c r="K391" t="str">
        <v>Odonil Room Freshener</v>
      </c>
      <c r="L391" t="str">
        <f t="shared" si="27"/>
        <v>Jan</v>
      </c>
      <c r="M391" t="str">
        <v>Household Cleaning</v>
      </c>
    </row>
    <row r="392" spans="1:13" x14ac:dyDescent="0.35">
      <c r="A392" s="8">
        <v>45682</v>
      </c>
      <c r="B392" t="s">
        <v>96</v>
      </c>
      <c r="C392">
        <v>10</v>
      </c>
      <c r="D392" t="s">
        <v>11</v>
      </c>
      <c r="E392" t="s">
        <v>11</v>
      </c>
      <c r="F392">
        <f>VLOOKUP(B392,Catalogue!$A$1:$F$51,5,FALSE)</f>
        <v>44</v>
      </c>
      <c r="G392">
        <f>VLOOKUP(B392,Catalogue!$A$1:$F$51,6,FALSE)</f>
        <v>48.4</v>
      </c>
      <c r="H392">
        <f t="shared" si="24"/>
        <v>440</v>
      </c>
      <c r="I392">
        <f t="shared" si="25"/>
        <v>484</v>
      </c>
      <c r="J392">
        <f t="shared" si="26"/>
        <v>44</v>
      </c>
      <c r="K392" t="str">
        <v>Whisper Sanitary Pads</v>
      </c>
      <c r="L392" t="str">
        <f t="shared" si="27"/>
        <v>Jan</v>
      </c>
      <c r="M392" t="str">
        <v>Paper &amp; Essentials</v>
      </c>
    </row>
    <row r="393" spans="1:13" x14ac:dyDescent="0.35">
      <c r="A393" s="8">
        <v>45683</v>
      </c>
      <c r="B393" t="s">
        <v>104</v>
      </c>
      <c r="C393">
        <v>16</v>
      </c>
      <c r="D393" t="s">
        <v>10</v>
      </c>
      <c r="E393" t="s">
        <v>12</v>
      </c>
      <c r="F393">
        <f>VLOOKUP(B393,Catalogue!$A$1:$F$51,5,FALSE)</f>
        <v>124</v>
      </c>
      <c r="G393">
        <f>VLOOKUP(B393,Catalogue!$A$1:$F$51,6,FALSE)</f>
        <v>163.68</v>
      </c>
      <c r="H393">
        <f t="shared" si="24"/>
        <v>1984</v>
      </c>
      <c r="I393">
        <f t="shared" si="25"/>
        <v>2618.88</v>
      </c>
      <c r="J393">
        <f t="shared" si="26"/>
        <v>634.88000000000011</v>
      </c>
      <c r="K393" t="str">
        <v>Sofy Pantyliners</v>
      </c>
      <c r="L393" t="str">
        <f t="shared" si="27"/>
        <v>Jan</v>
      </c>
      <c r="M393" t="str">
        <v>Paper &amp; Essentials</v>
      </c>
    </row>
    <row r="394" spans="1:13" x14ac:dyDescent="0.35">
      <c r="A394" s="8">
        <v>45684</v>
      </c>
      <c r="B394" t="s">
        <v>113</v>
      </c>
      <c r="C394">
        <v>14</v>
      </c>
      <c r="D394" t="s">
        <v>10</v>
      </c>
      <c r="E394" t="s">
        <v>12</v>
      </c>
      <c r="F394">
        <f>VLOOKUP(B394,Catalogue!$A$1:$F$51,5,FALSE)</f>
        <v>10</v>
      </c>
      <c r="G394">
        <f>VLOOKUP(B394,Catalogue!$A$1:$F$51,6,FALSE)</f>
        <v>11.3</v>
      </c>
      <c r="H394">
        <f t="shared" si="24"/>
        <v>140</v>
      </c>
      <c r="I394">
        <f t="shared" si="25"/>
        <v>158.20000000000002</v>
      </c>
      <c r="J394">
        <f t="shared" si="26"/>
        <v>18.200000000000017</v>
      </c>
      <c r="K394" t="str">
        <v>Kleenex Tissue Box</v>
      </c>
      <c r="L394" t="str">
        <f t="shared" si="27"/>
        <v>Jan</v>
      </c>
      <c r="M394" t="str">
        <v>Paper &amp; Essentials</v>
      </c>
    </row>
    <row r="395" spans="1:13" x14ac:dyDescent="0.35">
      <c r="A395" s="8">
        <v>45685</v>
      </c>
      <c r="B395" t="s">
        <v>81</v>
      </c>
      <c r="C395">
        <v>17</v>
      </c>
      <c r="D395" t="s">
        <v>11</v>
      </c>
      <c r="E395" t="s">
        <v>11</v>
      </c>
      <c r="F395">
        <f>VLOOKUP(B395,Catalogue!$A$1:$F$51,5,FALSE)</f>
        <v>123</v>
      </c>
      <c r="G395">
        <f>VLOOKUP(B395,Catalogue!$A$1:$F$51,6,FALSE)</f>
        <v>140.22</v>
      </c>
      <c r="H395">
        <f t="shared" si="24"/>
        <v>2091</v>
      </c>
      <c r="I395">
        <f t="shared" si="25"/>
        <v>2383.7399999999998</v>
      </c>
      <c r="J395">
        <f t="shared" si="26"/>
        <v>292.73999999999978</v>
      </c>
      <c r="K395" t="str">
        <v>Origami Kitchen Towels</v>
      </c>
      <c r="L395" t="str">
        <f t="shared" si="27"/>
        <v>Jan</v>
      </c>
      <c r="M395" t="str">
        <v>Paper &amp; Essentials</v>
      </c>
    </row>
    <row r="396" spans="1:13" x14ac:dyDescent="0.35">
      <c r="A396" s="8">
        <v>45686</v>
      </c>
      <c r="B396" t="s">
        <v>49</v>
      </c>
      <c r="C396">
        <v>10</v>
      </c>
      <c r="D396" t="s">
        <v>13</v>
      </c>
      <c r="E396" t="s">
        <v>12</v>
      </c>
      <c r="F396">
        <f>VLOOKUP(B396,Catalogue!$A$1:$F$51,5,FALSE)</f>
        <v>12</v>
      </c>
      <c r="G396">
        <f>VLOOKUP(B396,Catalogue!$A$1:$F$51,6,FALSE)</f>
        <v>13.44</v>
      </c>
      <c r="H396">
        <f t="shared" si="24"/>
        <v>120</v>
      </c>
      <c r="I396">
        <f t="shared" si="25"/>
        <v>134.4</v>
      </c>
      <c r="J396">
        <f t="shared" si="26"/>
        <v>14.400000000000006</v>
      </c>
      <c r="K396" t="str">
        <v>Stayfree Ultra</v>
      </c>
      <c r="L396" t="str">
        <f t="shared" si="27"/>
        <v>Jan</v>
      </c>
      <c r="M396" t="str">
        <v>Paper &amp; Essentials</v>
      </c>
    </row>
    <row r="397" spans="1:13" x14ac:dyDescent="0.35">
      <c r="A397" s="8">
        <v>45687</v>
      </c>
      <c r="B397" t="s">
        <v>159</v>
      </c>
      <c r="C397">
        <v>8</v>
      </c>
      <c r="D397" t="s">
        <v>13</v>
      </c>
      <c r="E397" t="s">
        <v>12</v>
      </c>
      <c r="F397">
        <f>VLOOKUP(B397,Catalogue!$A$1:$F$51,5,FALSE)</f>
        <v>136</v>
      </c>
      <c r="G397">
        <f>VLOOKUP(B397,Catalogue!$A$1:$F$51,6,FALSE)</f>
        <v>183.6</v>
      </c>
      <c r="H397">
        <f t="shared" si="24"/>
        <v>1088</v>
      </c>
      <c r="I397">
        <f t="shared" si="25"/>
        <v>1468.8</v>
      </c>
      <c r="J397">
        <f t="shared" si="26"/>
        <v>380.79999999999995</v>
      </c>
      <c r="K397" t="str">
        <v>Scott Toilet Paper</v>
      </c>
      <c r="L397" t="str">
        <f t="shared" si="27"/>
        <v>Jan</v>
      </c>
      <c r="M397" t="str">
        <v>Paper &amp; Essentials</v>
      </c>
    </row>
    <row r="398" spans="1:13" x14ac:dyDescent="0.35">
      <c r="A398" s="8">
        <v>45688</v>
      </c>
      <c r="B398" t="s">
        <v>49</v>
      </c>
      <c r="C398">
        <v>12</v>
      </c>
      <c r="D398" t="s">
        <v>11</v>
      </c>
      <c r="E398" t="s">
        <v>11</v>
      </c>
      <c r="F398">
        <f>VLOOKUP(B398,Catalogue!$A$1:$F$51,5,FALSE)</f>
        <v>12</v>
      </c>
      <c r="G398">
        <f>VLOOKUP(B398,Catalogue!$A$1:$F$51,6,FALSE)</f>
        <v>13.44</v>
      </c>
      <c r="H398">
        <f t="shared" si="24"/>
        <v>144</v>
      </c>
      <c r="I398">
        <f t="shared" si="25"/>
        <v>161.28</v>
      </c>
      <c r="J398">
        <f t="shared" si="26"/>
        <v>17.28</v>
      </c>
      <c r="K398" t="str">
        <v>Bella Napkins</v>
      </c>
      <c r="L398" t="str">
        <f t="shared" si="27"/>
        <v>Jan</v>
      </c>
      <c r="M398" t="str">
        <v>Paper &amp; Essentials</v>
      </c>
    </row>
    <row r="399" spans="1:13" x14ac:dyDescent="0.35">
      <c r="A399" s="8">
        <v>45689</v>
      </c>
      <c r="B399" t="s">
        <v>153</v>
      </c>
      <c r="C399">
        <v>4</v>
      </c>
      <c r="D399" t="s">
        <v>10</v>
      </c>
      <c r="E399" t="s">
        <v>12</v>
      </c>
      <c r="F399">
        <f>VLOOKUP(B399,Catalogue!$A$1:$F$51,5,FALSE)</f>
        <v>10</v>
      </c>
      <c r="G399">
        <f>VLOOKUP(B399,Catalogue!$A$1:$F$51,6,FALSE)</f>
        <v>11.2</v>
      </c>
      <c r="H399">
        <f t="shared" si="24"/>
        <v>40</v>
      </c>
      <c r="I399">
        <f t="shared" si="25"/>
        <v>44.8</v>
      </c>
      <c r="J399">
        <f t="shared" si="26"/>
        <v>4.7999999999999972</v>
      </c>
      <c r="K399" t="str">
        <v>Everteen Wipes</v>
      </c>
      <c r="L399" t="str">
        <f t="shared" si="27"/>
        <v>Feb</v>
      </c>
      <c r="M399" t="str">
        <v>Paper &amp; Essentials</v>
      </c>
    </row>
    <row r="400" spans="1:13" x14ac:dyDescent="0.35">
      <c r="A400" s="8">
        <v>45690</v>
      </c>
      <c r="B400" t="s">
        <v>36</v>
      </c>
      <c r="C400">
        <v>8</v>
      </c>
      <c r="D400" t="s">
        <v>10</v>
      </c>
      <c r="E400" t="s">
        <v>11</v>
      </c>
      <c r="F400">
        <f>VLOOKUP(B400,Catalogue!$A$1:$F$51,5,FALSE)</f>
        <v>16</v>
      </c>
      <c r="G400">
        <f>VLOOKUP(B400,Catalogue!$A$1:$F$51,6,FALSE)</f>
        <v>17.600000000000001</v>
      </c>
      <c r="H400">
        <f t="shared" si="24"/>
        <v>128</v>
      </c>
      <c r="I400">
        <f t="shared" si="25"/>
        <v>140.80000000000001</v>
      </c>
      <c r="J400">
        <f t="shared" si="26"/>
        <v>12.800000000000011</v>
      </c>
      <c r="K400" t="str">
        <v>Premier Facial Tissues</v>
      </c>
      <c r="L400" t="str">
        <f t="shared" si="27"/>
        <v>Feb</v>
      </c>
      <c r="M400" t="str">
        <v>Paper &amp; Essentials</v>
      </c>
    </row>
    <row r="401" spans="1:13" x14ac:dyDescent="0.35">
      <c r="A401" s="8">
        <v>45691</v>
      </c>
      <c r="B401" t="s">
        <v>131</v>
      </c>
      <c r="C401">
        <v>4</v>
      </c>
      <c r="D401" t="s">
        <v>11</v>
      </c>
      <c r="E401" t="s">
        <v>12</v>
      </c>
      <c r="F401">
        <f>VLOOKUP(B401,Catalogue!$A$1:$F$51,5,FALSE)</f>
        <v>105</v>
      </c>
      <c r="G401">
        <f>VLOOKUP(B401,Catalogue!$A$1:$F$51,6,FALSE)</f>
        <v>153.30000000000001</v>
      </c>
      <c r="H401">
        <f t="shared" si="24"/>
        <v>420</v>
      </c>
      <c r="I401">
        <f t="shared" si="25"/>
        <v>613.20000000000005</v>
      </c>
      <c r="J401">
        <f t="shared" si="26"/>
        <v>193.20000000000005</v>
      </c>
      <c r="K401" t="str">
        <v>Wet Wipes - Himalaya</v>
      </c>
      <c r="L401" t="str">
        <f t="shared" si="27"/>
        <v>Feb</v>
      </c>
      <c r="M401" t="str">
        <v>Paper &amp; Essentials</v>
      </c>
    </row>
    <row r="402" spans="1:13" x14ac:dyDescent="0.35">
      <c r="A402" s="8">
        <v>45692</v>
      </c>
      <c r="B402" t="s">
        <v>27</v>
      </c>
      <c r="C402">
        <v>19</v>
      </c>
      <c r="D402" t="s">
        <v>10</v>
      </c>
      <c r="E402" t="s">
        <v>11</v>
      </c>
      <c r="F402">
        <f>VLOOKUP(B402,Catalogue!$A$1:$F$51,5,FALSE)</f>
        <v>133</v>
      </c>
      <c r="G402">
        <f>VLOOKUP(B402,Catalogue!$A$1:$F$51,6,FALSE)</f>
        <v>187.53</v>
      </c>
      <c r="H402">
        <f t="shared" si="24"/>
        <v>2527</v>
      </c>
      <c r="I402">
        <f t="shared" si="25"/>
        <v>3563.07</v>
      </c>
      <c r="J402">
        <f t="shared" si="26"/>
        <v>1036.0700000000002</v>
      </c>
      <c r="K402" t="str" cm="1">
        <f t="array" ref="K402:K428">Catalogue!B2:B28</f>
        <v>Dove Soap</v>
      </c>
      <c r="L402" t="str">
        <f t="shared" si="27"/>
        <v>Feb</v>
      </c>
      <c r="M402" t="str" cm="1">
        <f t="array" ref="M402:M428">Catalogue!C2:C28</f>
        <v>Personal Care</v>
      </c>
    </row>
    <row r="403" spans="1:13" x14ac:dyDescent="0.35">
      <c r="A403" s="8">
        <v>45693</v>
      </c>
      <c r="B403" t="s">
        <v>74</v>
      </c>
      <c r="C403">
        <v>3</v>
      </c>
      <c r="D403" t="s">
        <v>10</v>
      </c>
      <c r="E403" t="s">
        <v>12</v>
      </c>
      <c r="F403">
        <f>VLOOKUP(B403,Catalogue!$A$1:$F$51,5,FALSE)</f>
        <v>16</v>
      </c>
      <c r="G403">
        <f>VLOOKUP(B403,Catalogue!$A$1:$F$51,6,FALSE)</f>
        <v>21.12</v>
      </c>
      <c r="H403">
        <f t="shared" si="24"/>
        <v>48</v>
      </c>
      <c r="I403">
        <f t="shared" si="25"/>
        <v>63.36</v>
      </c>
      <c r="J403">
        <f t="shared" si="26"/>
        <v>15.36</v>
      </c>
      <c r="K403" t="str">
        <v>Colgate Toothpaste</v>
      </c>
      <c r="L403" t="str">
        <f t="shared" si="27"/>
        <v>Feb</v>
      </c>
      <c r="M403" t="str">
        <v>Personal Care</v>
      </c>
    </row>
    <row r="404" spans="1:13" x14ac:dyDescent="0.35">
      <c r="A404" s="8">
        <v>45694</v>
      </c>
      <c r="B404" t="s">
        <v>104</v>
      </c>
      <c r="C404">
        <v>14</v>
      </c>
      <c r="D404" t="s">
        <v>11</v>
      </c>
      <c r="E404" t="s">
        <v>12</v>
      </c>
      <c r="F404">
        <f>VLOOKUP(B404,Catalogue!$A$1:$F$51,5,FALSE)</f>
        <v>124</v>
      </c>
      <c r="G404">
        <f>VLOOKUP(B404,Catalogue!$A$1:$F$51,6,FALSE)</f>
        <v>163.68</v>
      </c>
      <c r="H404">
        <f t="shared" si="24"/>
        <v>1736</v>
      </c>
      <c r="I404">
        <f t="shared" si="25"/>
        <v>2291.52</v>
      </c>
      <c r="J404">
        <f t="shared" si="26"/>
        <v>555.52</v>
      </c>
      <c r="K404" t="str">
        <v>Lifebuoy Handwash</v>
      </c>
      <c r="L404" t="str">
        <f t="shared" si="27"/>
        <v>Feb</v>
      </c>
      <c r="M404" t="str">
        <v>Personal Care</v>
      </c>
    </row>
    <row r="405" spans="1:13" x14ac:dyDescent="0.35">
      <c r="A405" s="8">
        <v>45695</v>
      </c>
      <c r="B405" t="s">
        <v>55</v>
      </c>
      <c r="C405">
        <v>2</v>
      </c>
      <c r="D405" t="s">
        <v>13</v>
      </c>
      <c r="E405" t="s">
        <v>11</v>
      </c>
      <c r="F405">
        <f>VLOOKUP(B405,Catalogue!$A$1:$F$51,5,FALSE)</f>
        <v>98</v>
      </c>
      <c r="G405">
        <f>VLOOKUP(B405,Catalogue!$A$1:$F$51,6,FALSE)</f>
        <v>110.74</v>
      </c>
      <c r="H405">
        <f t="shared" si="24"/>
        <v>196</v>
      </c>
      <c r="I405">
        <f t="shared" si="25"/>
        <v>221.48</v>
      </c>
      <c r="J405">
        <f t="shared" si="26"/>
        <v>25.47999999999999</v>
      </c>
      <c r="K405" t="str">
        <v>Nivea Body Lotion</v>
      </c>
      <c r="L405" t="str">
        <f t="shared" si="27"/>
        <v>Feb</v>
      </c>
      <c r="M405" t="str">
        <v>Personal Care</v>
      </c>
    </row>
    <row r="406" spans="1:13" x14ac:dyDescent="0.35">
      <c r="A406" s="8">
        <v>45696</v>
      </c>
      <c r="B406" t="s">
        <v>36</v>
      </c>
      <c r="C406">
        <v>7</v>
      </c>
      <c r="D406" t="s">
        <v>13</v>
      </c>
      <c r="E406" t="s">
        <v>12</v>
      </c>
      <c r="F406">
        <f>VLOOKUP(B406,Catalogue!$A$1:$F$51,5,FALSE)</f>
        <v>16</v>
      </c>
      <c r="G406">
        <f>VLOOKUP(B406,Catalogue!$A$1:$F$51,6,FALSE)</f>
        <v>17.600000000000001</v>
      </c>
      <c r="H406">
        <f t="shared" si="24"/>
        <v>112</v>
      </c>
      <c r="I406">
        <f t="shared" si="25"/>
        <v>123.20000000000002</v>
      </c>
      <c r="J406">
        <f t="shared" si="26"/>
        <v>11.200000000000017</v>
      </c>
      <c r="K406" t="str">
        <v>Gillette Shaving Foam</v>
      </c>
      <c r="L406" t="str">
        <f t="shared" si="27"/>
        <v>Feb</v>
      </c>
      <c r="M406" t="str">
        <v>Personal Care</v>
      </c>
    </row>
    <row r="407" spans="1:13" x14ac:dyDescent="0.35">
      <c r="A407" s="8">
        <v>45697</v>
      </c>
      <c r="B407" t="s">
        <v>21</v>
      </c>
      <c r="C407">
        <v>4</v>
      </c>
      <c r="D407" t="s">
        <v>11</v>
      </c>
      <c r="E407" t="s">
        <v>12</v>
      </c>
      <c r="F407">
        <f>VLOOKUP(B407,Catalogue!$A$1:$F$51,5,FALSE)</f>
        <v>44</v>
      </c>
      <c r="G407">
        <f>VLOOKUP(B407,Catalogue!$A$1:$F$51,6,FALSE)</f>
        <v>50.16</v>
      </c>
      <c r="H407">
        <f t="shared" si="24"/>
        <v>176</v>
      </c>
      <c r="I407">
        <f t="shared" si="25"/>
        <v>200.64</v>
      </c>
      <c r="J407">
        <f t="shared" si="26"/>
        <v>24.639999999999986</v>
      </c>
      <c r="K407" t="str">
        <v>Pantene Shampoo</v>
      </c>
      <c r="L407" t="str">
        <f t="shared" si="27"/>
        <v>Feb</v>
      </c>
      <c r="M407" t="str">
        <v>Personal Care</v>
      </c>
    </row>
    <row r="408" spans="1:13" x14ac:dyDescent="0.35">
      <c r="A408" s="8">
        <v>45698</v>
      </c>
      <c r="B408" t="s">
        <v>67</v>
      </c>
      <c r="C408">
        <v>20</v>
      </c>
      <c r="D408" t="s">
        <v>10</v>
      </c>
      <c r="E408" t="s">
        <v>11</v>
      </c>
      <c r="F408">
        <f>VLOOKUP(B408,Catalogue!$A$1:$F$51,5,FALSE)</f>
        <v>133</v>
      </c>
      <c r="G408">
        <f>VLOOKUP(B408,Catalogue!$A$1:$F$51,6,FALSE)</f>
        <v>146.30000000000001</v>
      </c>
      <c r="H408">
        <f t="shared" si="24"/>
        <v>2660</v>
      </c>
      <c r="I408">
        <f t="shared" si="25"/>
        <v>2926</v>
      </c>
      <c r="J408">
        <f t="shared" si="26"/>
        <v>266</v>
      </c>
      <c r="K408" t="str">
        <v>Dettol Antiseptic Liquid</v>
      </c>
      <c r="L408" t="str">
        <f t="shared" si="27"/>
        <v>Feb</v>
      </c>
      <c r="M408" t="str">
        <v>Personal Care</v>
      </c>
    </row>
    <row r="409" spans="1:13" x14ac:dyDescent="0.35">
      <c r="A409" s="8">
        <v>45699</v>
      </c>
      <c r="B409" t="s">
        <v>116</v>
      </c>
      <c r="C409">
        <v>15</v>
      </c>
      <c r="D409" t="s">
        <v>10</v>
      </c>
      <c r="E409" t="s">
        <v>12</v>
      </c>
      <c r="F409">
        <f>VLOOKUP(B409,Catalogue!$A$1:$F$51,5,FALSE)</f>
        <v>123</v>
      </c>
      <c r="G409">
        <f>VLOOKUP(B409,Catalogue!$A$1:$F$51,6,FALSE)</f>
        <v>173.43</v>
      </c>
      <c r="H409">
        <f t="shared" si="24"/>
        <v>1845</v>
      </c>
      <c r="I409">
        <f t="shared" si="25"/>
        <v>2601.4500000000003</v>
      </c>
      <c r="J409">
        <f t="shared" si="26"/>
        <v>756.45000000000027</v>
      </c>
      <c r="K409" t="str">
        <v>Himalaya Face Wash</v>
      </c>
      <c r="L409" t="str">
        <f t="shared" si="27"/>
        <v>Feb</v>
      </c>
      <c r="M409" t="str">
        <v>Personal Care</v>
      </c>
    </row>
    <row r="410" spans="1:13" x14ac:dyDescent="0.35">
      <c r="A410" s="8">
        <v>45700</v>
      </c>
      <c r="B410" t="s">
        <v>61</v>
      </c>
      <c r="C410">
        <v>2</v>
      </c>
      <c r="D410" t="s">
        <v>11</v>
      </c>
      <c r="E410" t="s">
        <v>11</v>
      </c>
      <c r="F410">
        <f>VLOOKUP(B410,Catalogue!$A$1:$F$51,5,FALSE)</f>
        <v>44</v>
      </c>
      <c r="G410">
        <f>VLOOKUP(B410,Catalogue!$A$1:$F$51,6,FALSE)</f>
        <v>72.599999999999994</v>
      </c>
      <c r="H410">
        <f t="shared" si="24"/>
        <v>88</v>
      </c>
      <c r="I410">
        <f t="shared" si="25"/>
        <v>145.19999999999999</v>
      </c>
      <c r="J410">
        <f t="shared" si="26"/>
        <v>57.199999999999989</v>
      </c>
      <c r="K410" t="str">
        <v>Vaseline Lip Care</v>
      </c>
      <c r="L410" t="str">
        <f t="shared" si="27"/>
        <v>Feb</v>
      </c>
      <c r="M410" t="str">
        <v>Personal Care</v>
      </c>
    </row>
    <row r="411" spans="1:13" x14ac:dyDescent="0.35">
      <c r="A411" s="8">
        <v>45701</v>
      </c>
      <c r="B411" t="s">
        <v>104</v>
      </c>
      <c r="C411">
        <v>9</v>
      </c>
      <c r="D411" t="s">
        <v>10</v>
      </c>
      <c r="E411" t="s">
        <v>12</v>
      </c>
      <c r="F411">
        <f>VLOOKUP(B411,Catalogue!$A$1:$F$51,5,FALSE)</f>
        <v>124</v>
      </c>
      <c r="G411">
        <f>VLOOKUP(B411,Catalogue!$A$1:$F$51,6,FALSE)</f>
        <v>163.68</v>
      </c>
      <c r="H411">
        <f t="shared" si="24"/>
        <v>1116</v>
      </c>
      <c r="I411">
        <f t="shared" si="25"/>
        <v>1473.1200000000001</v>
      </c>
      <c r="J411">
        <f t="shared" si="26"/>
        <v>357.12000000000012</v>
      </c>
      <c r="K411" t="str">
        <v>Johnson’s Baby Powder</v>
      </c>
      <c r="L411" t="str">
        <f t="shared" si="27"/>
        <v>Feb</v>
      </c>
      <c r="M411" t="str">
        <v>Personal Care</v>
      </c>
    </row>
    <row r="412" spans="1:13" x14ac:dyDescent="0.35">
      <c r="A412" s="8">
        <v>45702</v>
      </c>
      <c r="B412" t="s">
        <v>18</v>
      </c>
      <c r="C412">
        <v>6</v>
      </c>
      <c r="D412" t="s">
        <v>10</v>
      </c>
      <c r="E412" t="s">
        <v>11</v>
      </c>
      <c r="F412">
        <f>VLOOKUP(B412,Catalogue!$A$1:$F$51,5,FALSE)</f>
        <v>105</v>
      </c>
      <c r="G412">
        <f>VLOOKUP(B412,Catalogue!$A$1:$F$51,6,FALSE)</f>
        <v>117.6</v>
      </c>
      <c r="H412">
        <f t="shared" si="24"/>
        <v>630</v>
      </c>
      <c r="I412">
        <f t="shared" si="25"/>
        <v>705.59999999999991</v>
      </c>
      <c r="J412">
        <f t="shared" si="26"/>
        <v>75.599999999999909</v>
      </c>
      <c r="K412" t="str">
        <v>Coca-Cola Can</v>
      </c>
      <c r="L412" t="str">
        <f t="shared" si="27"/>
        <v>Feb</v>
      </c>
      <c r="M412" t="str">
        <v>Beverages</v>
      </c>
    </row>
    <row r="413" spans="1:13" x14ac:dyDescent="0.35">
      <c r="A413" s="8">
        <v>45703</v>
      </c>
      <c r="B413" t="s">
        <v>159</v>
      </c>
      <c r="C413">
        <v>8</v>
      </c>
      <c r="D413" t="s">
        <v>11</v>
      </c>
      <c r="E413" t="s">
        <v>12</v>
      </c>
      <c r="F413">
        <f>VLOOKUP(B413,Catalogue!$A$1:$F$51,5,FALSE)</f>
        <v>136</v>
      </c>
      <c r="G413">
        <f>VLOOKUP(B413,Catalogue!$A$1:$F$51,6,FALSE)</f>
        <v>183.6</v>
      </c>
      <c r="H413">
        <f t="shared" si="24"/>
        <v>1088</v>
      </c>
      <c r="I413">
        <f t="shared" si="25"/>
        <v>1468.8</v>
      </c>
      <c r="J413">
        <f t="shared" si="26"/>
        <v>380.79999999999995</v>
      </c>
      <c r="K413" t="str">
        <v>Pepsi Bottle</v>
      </c>
      <c r="L413" t="str">
        <f t="shared" si="27"/>
        <v>Feb</v>
      </c>
      <c r="M413" t="str">
        <v>Beverages</v>
      </c>
    </row>
    <row r="414" spans="1:13" x14ac:dyDescent="0.35">
      <c r="A414" s="8">
        <v>45704</v>
      </c>
      <c r="B414" t="s">
        <v>134</v>
      </c>
      <c r="C414">
        <v>12</v>
      </c>
      <c r="D414" t="s">
        <v>13</v>
      </c>
      <c r="E414" t="s">
        <v>12</v>
      </c>
      <c r="F414">
        <f>VLOOKUP(B414,Catalogue!$A$1:$F$51,5,FALSE)</f>
        <v>44</v>
      </c>
      <c r="G414">
        <f>VLOOKUP(B414,Catalogue!$A$1:$F$51,6,FALSE)</f>
        <v>58.08</v>
      </c>
      <c r="H414">
        <f t="shared" si="24"/>
        <v>528</v>
      </c>
      <c r="I414">
        <f t="shared" si="25"/>
        <v>696.96</v>
      </c>
      <c r="J414">
        <f t="shared" si="26"/>
        <v>168.96000000000004</v>
      </c>
      <c r="K414" t="str">
        <v>Red Bull</v>
      </c>
      <c r="L414" t="str">
        <f t="shared" si="27"/>
        <v>Feb</v>
      </c>
      <c r="M414" t="str">
        <v>Beverages</v>
      </c>
    </row>
    <row r="415" spans="1:13" x14ac:dyDescent="0.35">
      <c r="A415" s="8">
        <v>45705</v>
      </c>
      <c r="B415" t="s">
        <v>93</v>
      </c>
      <c r="C415">
        <v>13</v>
      </c>
      <c r="D415" t="s">
        <v>13</v>
      </c>
      <c r="E415" t="s">
        <v>11</v>
      </c>
      <c r="F415">
        <f>VLOOKUP(B415,Catalogue!$A$1:$F$51,5,FALSE)</f>
        <v>105</v>
      </c>
      <c r="G415">
        <f>VLOOKUP(B415,Catalogue!$A$1:$F$51,6,FALSE)</f>
        <v>117.6</v>
      </c>
      <c r="H415">
        <f t="shared" si="24"/>
        <v>1365</v>
      </c>
      <c r="I415">
        <f t="shared" si="25"/>
        <v>1528.8</v>
      </c>
      <c r="J415">
        <f t="shared" si="26"/>
        <v>163.79999999999995</v>
      </c>
      <c r="K415" t="str">
        <v>Tropicana Orange Juice</v>
      </c>
      <c r="L415" t="str">
        <f t="shared" si="27"/>
        <v>Feb</v>
      </c>
      <c r="M415" t="str">
        <v>Beverages</v>
      </c>
    </row>
    <row r="416" spans="1:13" x14ac:dyDescent="0.35">
      <c r="A416" s="8">
        <v>45706</v>
      </c>
      <c r="B416" t="s">
        <v>99</v>
      </c>
      <c r="C416">
        <v>14</v>
      </c>
      <c r="D416" t="s">
        <v>11</v>
      </c>
      <c r="E416" t="s">
        <v>12</v>
      </c>
      <c r="F416">
        <f>VLOOKUP(B416,Catalogue!$A$1:$F$51,5,FALSE)</f>
        <v>71</v>
      </c>
      <c r="G416">
        <f>VLOOKUP(B416,Catalogue!$A$1:$F$51,6,FALSE)</f>
        <v>95.85</v>
      </c>
      <c r="H416">
        <f t="shared" si="24"/>
        <v>994</v>
      </c>
      <c r="I416">
        <f t="shared" si="25"/>
        <v>1341.8999999999999</v>
      </c>
      <c r="J416">
        <f t="shared" si="26"/>
        <v>347.89999999999986</v>
      </c>
      <c r="K416" t="str">
        <v>Minute Maid Pulpy</v>
      </c>
      <c r="L416" t="str">
        <f t="shared" si="27"/>
        <v>Feb</v>
      </c>
      <c r="M416" t="str">
        <v>Beverages</v>
      </c>
    </row>
    <row r="417" spans="1:13" x14ac:dyDescent="0.35">
      <c r="A417" s="8">
        <v>45707</v>
      </c>
      <c r="B417" t="s">
        <v>30</v>
      </c>
      <c r="C417">
        <v>2</v>
      </c>
      <c r="D417" t="s">
        <v>10</v>
      </c>
      <c r="E417" t="s">
        <v>12</v>
      </c>
      <c r="F417">
        <f>VLOOKUP(B417,Catalogue!$A$1:$F$51,5,FALSE)</f>
        <v>124</v>
      </c>
      <c r="G417">
        <f>VLOOKUP(B417,Catalogue!$A$1:$F$51,6,FALSE)</f>
        <v>204.60000000000002</v>
      </c>
      <c r="H417">
        <f t="shared" si="24"/>
        <v>248</v>
      </c>
      <c r="I417">
        <f t="shared" si="25"/>
        <v>409.20000000000005</v>
      </c>
      <c r="J417">
        <f t="shared" si="26"/>
        <v>161.20000000000005</v>
      </c>
      <c r="K417" t="str">
        <v>Frooti Mango Drink</v>
      </c>
      <c r="L417" t="str">
        <f t="shared" si="27"/>
        <v>Feb</v>
      </c>
      <c r="M417" t="str">
        <v>Beverages</v>
      </c>
    </row>
    <row r="418" spans="1:13" x14ac:dyDescent="0.35">
      <c r="A418" s="8">
        <v>45708</v>
      </c>
      <c r="B418" t="s">
        <v>111</v>
      </c>
      <c r="C418">
        <v>19</v>
      </c>
      <c r="D418" t="s">
        <v>10</v>
      </c>
      <c r="E418" t="s">
        <v>11</v>
      </c>
      <c r="F418">
        <f>VLOOKUP(B418,Catalogue!$A$1:$F$51,5,FALSE)</f>
        <v>16</v>
      </c>
      <c r="G418">
        <f>VLOOKUP(B418,Catalogue!$A$1:$F$51,6,FALSE)</f>
        <v>18.240000000000002</v>
      </c>
      <c r="H418">
        <f t="shared" si="24"/>
        <v>304</v>
      </c>
      <c r="I418">
        <f t="shared" si="25"/>
        <v>346.56000000000006</v>
      </c>
      <c r="J418">
        <f t="shared" si="26"/>
        <v>42.560000000000059</v>
      </c>
      <c r="K418" t="str">
        <v>Nestlé Iced Tea</v>
      </c>
      <c r="L418" t="str">
        <f t="shared" si="27"/>
        <v>Feb</v>
      </c>
      <c r="M418" t="str">
        <v>Beverages</v>
      </c>
    </row>
    <row r="419" spans="1:13" x14ac:dyDescent="0.35">
      <c r="A419" s="8">
        <v>45709</v>
      </c>
      <c r="B419" t="s">
        <v>71</v>
      </c>
      <c r="C419">
        <v>19</v>
      </c>
      <c r="D419" t="s">
        <v>11</v>
      </c>
      <c r="E419" t="s">
        <v>12</v>
      </c>
      <c r="F419">
        <f>VLOOKUP(B419,Catalogue!$A$1:$F$51,5,FALSE)</f>
        <v>10</v>
      </c>
      <c r="G419">
        <f>VLOOKUP(B419,Catalogue!$A$1:$F$51,6,FALSE)</f>
        <v>14.600000000000001</v>
      </c>
      <c r="H419">
        <f t="shared" si="24"/>
        <v>190</v>
      </c>
      <c r="I419">
        <f t="shared" si="25"/>
        <v>277.40000000000003</v>
      </c>
      <c r="J419">
        <f t="shared" si="26"/>
        <v>87.400000000000034</v>
      </c>
      <c r="K419" t="str">
        <v>Real Mixed Fruit Juice</v>
      </c>
      <c r="L419" t="str">
        <f t="shared" si="27"/>
        <v>Feb</v>
      </c>
      <c r="M419" t="str">
        <v>Beverages</v>
      </c>
    </row>
    <row r="420" spans="1:13" x14ac:dyDescent="0.35">
      <c r="A420" s="8">
        <v>45710</v>
      </c>
      <c r="B420" t="s">
        <v>30</v>
      </c>
      <c r="C420">
        <v>7</v>
      </c>
      <c r="D420" t="s">
        <v>10</v>
      </c>
      <c r="E420" t="s">
        <v>11</v>
      </c>
      <c r="F420">
        <f>VLOOKUP(B420,Catalogue!$A$1:$F$51,5,FALSE)</f>
        <v>124</v>
      </c>
      <c r="G420">
        <f>VLOOKUP(B420,Catalogue!$A$1:$F$51,6,FALSE)</f>
        <v>204.60000000000002</v>
      </c>
      <c r="H420">
        <f t="shared" si="24"/>
        <v>868</v>
      </c>
      <c r="I420">
        <f t="shared" si="25"/>
        <v>1432.2000000000003</v>
      </c>
      <c r="J420">
        <f t="shared" si="26"/>
        <v>564.20000000000027</v>
      </c>
      <c r="K420" t="str">
        <v>Amul Kool Flavored Milk</v>
      </c>
      <c r="L420" t="str">
        <f t="shared" si="27"/>
        <v>Feb</v>
      </c>
      <c r="M420" t="str">
        <v>Beverages</v>
      </c>
    </row>
    <row r="421" spans="1:13" x14ac:dyDescent="0.35">
      <c r="A421" s="8">
        <v>45711</v>
      </c>
      <c r="B421" t="s">
        <v>150</v>
      </c>
      <c r="C421">
        <v>14</v>
      </c>
      <c r="D421" t="s">
        <v>10</v>
      </c>
      <c r="E421" t="s">
        <v>12</v>
      </c>
      <c r="F421">
        <f>VLOOKUP(B421,Catalogue!$A$1:$F$51,5,FALSE)</f>
        <v>16</v>
      </c>
      <c r="G421">
        <f>VLOOKUP(B421,Catalogue!$A$1:$F$51,6,FALSE)</f>
        <v>26.4</v>
      </c>
      <c r="H421">
        <f t="shared" si="24"/>
        <v>224</v>
      </c>
      <c r="I421">
        <f t="shared" si="25"/>
        <v>369.59999999999997</v>
      </c>
      <c r="J421">
        <f t="shared" si="26"/>
        <v>145.59999999999997</v>
      </c>
      <c r="K421" t="str">
        <v>Paper Boat Aam Panna</v>
      </c>
      <c r="L421" t="str">
        <f t="shared" si="27"/>
        <v>Feb</v>
      </c>
      <c r="M421" t="str">
        <v>Beverages</v>
      </c>
    </row>
    <row r="422" spans="1:13" x14ac:dyDescent="0.35">
      <c r="A422" s="8">
        <v>45712</v>
      </c>
      <c r="B422" t="s">
        <v>61</v>
      </c>
      <c r="C422">
        <v>7</v>
      </c>
      <c r="D422" t="s">
        <v>11</v>
      </c>
      <c r="E422" t="s">
        <v>11</v>
      </c>
      <c r="F422">
        <f>VLOOKUP(B422,Catalogue!$A$1:$F$51,5,FALSE)</f>
        <v>44</v>
      </c>
      <c r="G422">
        <f>VLOOKUP(B422,Catalogue!$A$1:$F$51,6,FALSE)</f>
        <v>72.599999999999994</v>
      </c>
      <c r="H422">
        <f t="shared" si="24"/>
        <v>308</v>
      </c>
      <c r="I422">
        <f t="shared" si="25"/>
        <v>508.19999999999993</v>
      </c>
      <c r="J422">
        <f t="shared" si="26"/>
        <v>200.19999999999993</v>
      </c>
      <c r="K422" t="str">
        <v>Maggi Noodles</v>
      </c>
      <c r="L422" t="str">
        <f t="shared" si="27"/>
        <v>Feb</v>
      </c>
      <c r="M422" t="str">
        <v>Packaged Foods</v>
      </c>
    </row>
    <row r="423" spans="1:13" x14ac:dyDescent="0.35">
      <c r="A423" s="8">
        <v>45713</v>
      </c>
      <c r="B423" t="s">
        <v>102</v>
      </c>
      <c r="C423">
        <v>10</v>
      </c>
      <c r="D423" t="s">
        <v>13</v>
      </c>
      <c r="E423" t="s">
        <v>12</v>
      </c>
      <c r="F423">
        <f>VLOOKUP(B423,Catalogue!$A$1:$F$51,5,FALSE)</f>
        <v>133</v>
      </c>
      <c r="G423">
        <f>VLOOKUP(B423,Catalogue!$A$1:$F$51,6,FALSE)</f>
        <v>194.18</v>
      </c>
      <c r="H423">
        <f t="shared" si="24"/>
        <v>1330</v>
      </c>
      <c r="I423">
        <f t="shared" si="25"/>
        <v>1941.8000000000002</v>
      </c>
      <c r="J423">
        <f t="shared" si="26"/>
        <v>611.80000000000018</v>
      </c>
      <c r="K423" t="str">
        <v>Sunfeast Biscuits</v>
      </c>
      <c r="L423" t="str">
        <f t="shared" si="27"/>
        <v>Feb</v>
      </c>
      <c r="M423" t="str">
        <v>Packaged Foods</v>
      </c>
    </row>
    <row r="424" spans="1:13" x14ac:dyDescent="0.35">
      <c r="A424" s="8">
        <v>45714</v>
      </c>
      <c r="B424" t="s">
        <v>71</v>
      </c>
      <c r="C424">
        <v>18</v>
      </c>
      <c r="D424" t="s">
        <v>13</v>
      </c>
      <c r="E424" t="s">
        <v>12</v>
      </c>
      <c r="F424">
        <f>VLOOKUP(B424,Catalogue!$A$1:$F$51,5,FALSE)</f>
        <v>10</v>
      </c>
      <c r="G424">
        <f>VLOOKUP(B424,Catalogue!$A$1:$F$51,6,FALSE)</f>
        <v>14.600000000000001</v>
      </c>
      <c r="H424">
        <f t="shared" si="24"/>
        <v>180</v>
      </c>
      <c r="I424">
        <f t="shared" si="25"/>
        <v>262.8</v>
      </c>
      <c r="J424">
        <f t="shared" si="26"/>
        <v>82.800000000000011</v>
      </c>
      <c r="K424" t="str">
        <v>Nestlé Cerelac</v>
      </c>
      <c r="L424" t="str">
        <f t="shared" si="27"/>
        <v>Feb</v>
      </c>
      <c r="M424" t="str">
        <v>Packaged Foods</v>
      </c>
    </row>
    <row r="425" spans="1:13" x14ac:dyDescent="0.35">
      <c r="A425" s="8">
        <v>45715</v>
      </c>
      <c r="B425" t="s">
        <v>67</v>
      </c>
      <c r="C425">
        <v>13</v>
      </c>
      <c r="D425" t="s">
        <v>11</v>
      </c>
      <c r="E425" t="s">
        <v>11</v>
      </c>
      <c r="F425">
        <f>VLOOKUP(B425,Catalogue!$A$1:$F$51,5,FALSE)</f>
        <v>133</v>
      </c>
      <c r="G425">
        <f>VLOOKUP(B425,Catalogue!$A$1:$F$51,6,FALSE)</f>
        <v>146.30000000000001</v>
      </c>
      <c r="H425">
        <f t="shared" si="24"/>
        <v>1729</v>
      </c>
      <c r="I425">
        <f t="shared" si="25"/>
        <v>1901.9</v>
      </c>
      <c r="J425">
        <f t="shared" si="26"/>
        <v>172.90000000000009</v>
      </c>
      <c r="K425" t="str">
        <v>MTR Ready Curry</v>
      </c>
      <c r="L425" t="str">
        <f t="shared" si="27"/>
        <v>Feb</v>
      </c>
      <c r="M425" t="str">
        <v>Packaged Foods</v>
      </c>
    </row>
    <row r="426" spans="1:13" x14ac:dyDescent="0.35">
      <c r="A426" s="8">
        <v>45716</v>
      </c>
      <c r="B426" t="s">
        <v>144</v>
      </c>
      <c r="C426">
        <v>12</v>
      </c>
      <c r="D426" t="s">
        <v>10</v>
      </c>
      <c r="E426" t="s">
        <v>12</v>
      </c>
      <c r="F426">
        <f>VLOOKUP(B426,Catalogue!$A$1:$F$51,5,FALSE)</f>
        <v>124</v>
      </c>
      <c r="G426">
        <f>VLOOKUP(B426,Catalogue!$A$1:$F$51,6,FALSE)</f>
        <v>140.12</v>
      </c>
      <c r="H426">
        <f t="shared" si="24"/>
        <v>1488</v>
      </c>
      <c r="I426">
        <f t="shared" si="25"/>
        <v>1681.44</v>
      </c>
      <c r="J426">
        <f t="shared" si="26"/>
        <v>193.44000000000005</v>
      </c>
      <c r="K426" t="str">
        <v>Haldiram's Bhujia</v>
      </c>
      <c r="L426" t="str">
        <f t="shared" si="27"/>
        <v>Feb</v>
      </c>
      <c r="M426" t="str">
        <v>Packaged Foods</v>
      </c>
    </row>
    <row r="427" spans="1:13" x14ac:dyDescent="0.35">
      <c r="A427" s="8">
        <v>45717</v>
      </c>
      <c r="B427" t="s">
        <v>42</v>
      </c>
      <c r="C427">
        <v>5</v>
      </c>
      <c r="D427" t="s">
        <v>10</v>
      </c>
      <c r="E427" t="s">
        <v>12</v>
      </c>
      <c r="F427">
        <f>VLOOKUP(B427,Catalogue!$A$1:$F$51,5,FALSE)</f>
        <v>123</v>
      </c>
      <c r="G427">
        <f>VLOOKUP(B427,Catalogue!$A$1:$F$51,6,FALSE)</f>
        <v>179.58</v>
      </c>
      <c r="H427">
        <f t="shared" si="24"/>
        <v>615</v>
      </c>
      <c r="I427">
        <f t="shared" si="25"/>
        <v>897.90000000000009</v>
      </c>
      <c r="J427">
        <f t="shared" si="26"/>
        <v>282.90000000000009</v>
      </c>
      <c r="K427" t="str">
        <v>Lay's Chips</v>
      </c>
      <c r="L427" t="str">
        <f t="shared" si="27"/>
        <v>Mar</v>
      </c>
      <c r="M427" t="str">
        <v>Packaged Foods</v>
      </c>
    </row>
    <row r="428" spans="1:13" x14ac:dyDescent="0.35">
      <c r="A428" s="8">
        <v>45718</v>
      </c>
      <c r="B428" t="s">
        <v>144</v>
      </c>
      <c r="C428">
        <v>9</v>
      </c>
      <c r="D428" t="s">
        <v>11</v>
      </c>
      <c r="E428" t="s">
        <v>11</v>
      </c>
      <c r="F428">
        <f>VLOOKUP(B428,Catalogue!$A$1:$F$51,5,FALSE)</f>
        <v>124</v>
      </c>
      <c r="G428">
        <f>VLOOKUP(B428,Catalogue!$A$1:$F$51,6,FALSE)</f>
        <v>140.12</v>
      </c>
      <c r="H428">
        <f t="shared" si="24"/>
        <v>1116</v>
      </c>
      <c r="I428">
        <f t="shared" si="25"/>
        <v>1261.08</v>
      </c>
      <c r="J428">
        <f t="shared" si="26"/>
        <v>145.07999999999993</v>
      </c>
      <c r="K428" t="str">
        <v>Kellogg’s Corn Flakes</v>
      </c>
      <c r="L428" t="str">
        <f t="shared" si="27"/>
        <v>Mar</v>
      </c>
      <c r="M428" t="str">
        <v>Packaged Foods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Catalogue</vt:lpstr>
      <vt:lpstr>Sheet7</vt:lpstr>
      <vt:lpstr>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Immanuvel Joseph</dc:creator>
  <cp:lastModifiedBy>SureshSundar Sureshsundar</cp:lastModifiedBy>
  <dcterms:created xsi:type="dcterms:W3CDTF">2023-09-26T02:09:28Z</dcterms:created>
  <dcterms:modified xsi:type="dcterms:W3CDTF">2025-07-30T16:28:34Z</dcterms:modified>
</cp:coreProperties>
</file>